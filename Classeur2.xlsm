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remyperras/Desktop/"/>
    </mc:Choice>
  </mc:AlternateContent>
  <xr:revisionPtr revIDLastSave="0" documentId="8_{619BBD48-5D49-1C44-B543-7482A70C9E15}" xr6:coauthVersionLast="47" xr6:coauthVersionMax="47" xr10:uidLastSave="{00000000-0000-0000-0000-000000000000}"/>
  <bookViews>
    <workbookView xWindow="0" yWindow="500" windowWidth="28800" windowHeight="17500" xr2:uid="{1B6ECF23-4F48-8C4D-A87B-9B76289E43FD}"/>
  </bookViews>
  <sheets>
    <sheet name="Graph" sheetId="1" r:id="rId1"/>
    <sheet name="KPI" sheetId="3" r:id="rId2"/>
    <sheet name="Donnees" sheetId="2" r:id="rId3"/>
    <sheet name="Flux" sheetId="4" r:id="rId4"/>
    <sheet name="Coordonnees" sheetId="6" r:id="rId5"/>
    <sheet name="Planification" sheetId="5" r:id="rId6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Y2" i="1" l="1"/>
  <c r="C23" i="2" l="1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24" i="2"/>
  <c r="B25" i="2"/>
  <c r="B26" i="2"/>
  <c r="B27" i="2"/>
  <c r="B28" i="2"/>
  <c r="B23" i="2"/>
  <c r="AX2" i="1"/>
  <c r="BA2" i="1"/>
  <c r="BA3" i="1"/>
  <c r="BA4" i="1"/>
  <c r="BK2" i="1"/>
  <c r="BL2" i="1"/>
  <c r="BM2" i="1"/>
  <c r="BN2" i="1"/>
  <c r="BO2" i="1"/>
  <c r="BP2" i="1"/>
  <c r="BQ2" i="1"/>
  <c r="BR2" i="1"/>
  <c r="BS2" i="1"/>
  <c r="BT2" i="1"/>
  <c r="BU2" i="1"/>
  <c r="BV2" i="1"/>
  <c r="BW2" i="1"/>
  <c r="BX2" i="1"/>
  <c r="BY2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CO4" i="1"/>
  <c r="CP4" i="1"/>
  <c r="CQ4" i="1"/>
  <c r="CR4" i="1"/>
  <c r="CS4" i="1"/>
  <c r="CT4" i="1"/>
  <c r="CU4" i="1"/>
  <c r="CV4" i="1"/>
  <c r="CW4" i="1"/>
  <c r="CX4" i="1"/>
  <c r="CY4" i="1"/>
  <c r="CZ4" i="1"/>
  <c r="DA4" i="1"/>
  <c r="DB4" i="1"/>
  <c r="BG2" i="1"/>
  <c r="BH2" i="1"/>
  <c r="BI2" i="1"/>
  <c r="BJ2" i="1"/>
  <c r="BG3" i="1"/>
  <c r="BH3" i="1"/>
  <c r="BI3" i="1"/>
  <c r="BJ3" i="1"/>
  <c r="BC2" i="1"/>
  <c r="BD2" i="1"/>
  <c r="BE2" i="1"/>
  <c r="BF2" i="1"/>
  <c r="BC3" i="1"/>
  <c r="BD3" i="1"/>
  <c r="BE3" i="1"/>
  <c r="BF3" i="1"/>
  <c r="BB2" i="1"/>
  <c r="BB3" i="1"/>
  <c r="DB2" i="1" l="1"/>
  <c r="CL2" i="1"/>
  <c r="CD2" i="1"/>
  <c r="BV4" i="1"/>
  <c r="BX4" i="1"/>
  <c r="CT2" i="1"/>
  <c r="DA2" i="1"/>
  <c r="CS2" i="1"/>
  <c r="CK2" i="1"/>
  <c r="CC2" i="1"/>
  <c r="BR4" i="1"/>
  <c r="CU2" i="1"/>
  <c r="CM2" i="1"/>
  <c r="CE2" i="1"/>
  <c r="BW4" i="1"/>
  <c r="BZ2" i="1"/>
  <c r="CV2" i="1"/>
  <c r="CN2" i="1"/>
  <c r="CF2" i="1"/>
  <c r="BP4" i="1"/>
  <c r="BO4" i="1"/>
  <c r="BN4" i="1"/>
  <c r="BU4" i="1"/>
  <c r="BM4" i="1"/>
  <c r="BB4" i="1"/>
  <c r="BH4" i="1"/>
  <c r="CW2" i="1"/>
  <c r="CO2" i="1"/>
  <c r="CG2" i="1"/>
  <c r="BG4" i="1"/>
  <c r="BT4" i="1"/>
  <c r="BL4" i="1"/>
  <c r="CZ2" i="1"/>
  <c r="BF4" i="1"/>
  <c r="BE4" i="1"/>
  <c r="BD4" i="1"/>
  <c r="BC4" i="1"/>
  <c r="CJ2" i="1"/>
  <c r="BJ4" i="1"/>
  <c r="CY2" i="1"/>
  <c r="CI2" i="1"/>
  <c r="BS4" i="1"/>
  <c r="BK4" i="1"/>
  <c r="CR2" i="1"/>
  <c r="CB2" i="1"/>
  <c r="CQ2" i="1"/>
  <c r="CA2" i="1"/>
  <c r="BY4" i="1"/>
  <c r="BQ4" i="1"/>
  <c r="BI4" i="1"/>
  <c r="CX2" i="1"/>
  <c r="CP2" i="1"/>
  <c r="CH2" i="1"/>
</calcChain>
</file>

<file path=xl/sharedStrings.xml><?xml version="1.0" encoding="utf-8"?>
<sst xmlns="http://schemas.openxmlformats.org/spreadsheetml/2006/main" count="33" uniqueCount="16">
  <si>
    <t>Semaine</t>
  </si>
  <si>
    <t>Pieces</t>
  </si>
  <si>
    <t>Legende :</t>
  </si>
  <si>
    <t xml:space="preserve">piece </t>
  </si>
  <si>
    <t>time</t>
  </si>
  <si>
    <t>Historique</t>
  </si>
  <si>
    <t>Capacite</t>
  </si>
  <si>
    <t>Charge Atelier 1</t>
  </si>
  <si>
    <t>Charge Atelier 2</t>
  </si>
  <si>
    <t>Charge Atelier 3</t>
  </si>
  <si>
    <t>Charge Atelier 4</t>
  </si>
  <si>
    <t>Charge Atelier 5</t>
  </si>
  <si>
    <t>Charge Atelier 6</t>
  </si>
  <si>
    <t>Choix atelier :</t>
  </si>
  <si>
    <t>KPI</t>
  </si>
  <si>
    <t>Efficacite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</si>
</sst>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7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" xfId="0" applyBorder="1"/>
    <xf numFmtId="0" fontId="0" fillId="0" borderId="1" xfId="0" applyFill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2" xfId="0" applyFill="1" applyBorder="1"/>
    <xf numFmtId="0" fontId="0" fillId="2" borderId="0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10" fontId="0" fillId="0" borderId="8" xfId="0" applyNumberFormat="1" applyBorder="1"/>
    <xf numFmtId="10" fontId="0" fillId="0" borderId="9" xfId="0" applyNumberFormat="1" applyBorder="1"/>
    <xf numFmtId="10" fontId="0" fillId="0" borderId="10" xfId="0" applyNumberFormat="1" applyBorder="1"/>
    <xf numFmtId="10" fontId="0" fillId="0" borderId="2" xfId="0" applyNumberFormat="1" applyBorder="1"/>
    <xf numFmtId="10" fontId="0" fillId="0" borderId="0" xfId="0" applyNumberFormat="1" applyBorder="1"/>
    <xf numFmtId="10" fontId="0" fillId="0" borderId="3" xfId="0" applyNumberFormat="1" applyBorder="1"/>
    <xf numFmtId="10" fontId="0" fillId="0" borderId="4" xfId="0" applyNumberFormat="1" applyBorder="1"/>
    <xf numFmtId="10" fontId="0" fillId="0" borderId="5" xfId="0" applyNumberFormat="1" applyBorder="1"/>
    <xf numFmtId="10" fontId="0" fillId="0" borderId="6" xfId="0" applyNumberFormat="1" applyBorder="1"/>
    <xf numFmtId="0" fontId="0" fillId="0" borderId="0" xfId="0" applyBorder="1" applyAlignment="1">
      <alignment horizontal="right"/>
    </xf>
    <xf numFmtId="0" fontId="0" fillId="0" borderId="0" xfId="0" quotePrefix="1" applyBorder="1" applyAlignment="1">
      <alignment horizontal="right"/>
    </xf>
    <xf numFmtId="0" fontId="1" fillId="3" borderId="0" xfId="0" applyFont="1" applyFill="1"/>
    <xf numFmtId="0" fontId="1" fillId="3" borderId="8" xfId="0" applyFont="1" applyFill="1" applyBorder="1"/>
    <xf numFmtId="0" fontId="1" fillId="3" borderId="9" xfId="0" applyFont="1" applyFill="1" applyBorder="1"/>
    <xf numFmtId="0" fontId="1" fillId="3" borderId="10" xfId="0" applyFont="1" applyFill="1" applyBorder="1"/>
    <xf numFmtId="0" fontId="1" fillId="3" borderId="2" xfId="0" applyFont="1" applyFill="1" applyBorder="1"/>
    <xf numFmtId="0" fontId="1" fillId="3" borderId="0" xfId="0" applyFont="1" applyFill="1" applyBorder="1"/>
    <xf numFmtId="0" fontId="1" fillId="3" borderId="3" xfId="0" applyFont="1" applyFill="1" applyBorder="1"/>
    <xf numFmtId="0" fontId="1" fillId="3" borderId="4" xfId="0" applyFont="1" applyFill="1" applyBorder="1"/>
    <xf numFmtId="0" fontId="1" fillId="3" borderId="5" xfId="0" applyFont="1" applyFill="1" applyBorder="1"/>
    <xf numFmtId="0" fontId="1" fillId="3" borderId="6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889650"/>
      <color rgb="FFDD115E"/>
      <color rgb="FF7417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601673547104936E-2"/>
          <c:y val="3.1879457162293214E-2"/>
          <c:w val="0.95839832645289502"/>
          <c:h val="0.85187954920272069"/>
        </c:manualLayout>
      </c:layout>
      <c:barChart>
        <c:barDir val="col"/>
        <c:grouping val="clustered"/>
        <c:varyColors val="0"/>
        <c:ser>
          <c:idx val="3"/>
          <c:order val="2"/>
          <c:tx>
            <c:strRef>
              <c:f>Graph!$BA$4</c:f>
              <c:strCache>
                <c:ptCount val="1"/>
                <c:pt idx="0">
                  <c:v>Historique</c:v>
                </c:pt>
              </c:strCache>
            </c:strRef>
          </c:tx>
          <c:spPr>
            <a:gradFill flip="none" rotWithShape="1">
              <a:gsLst>
                <a:gs pos="16000">
                  <a:srgbClr val="002060">
                    <a:lumMod val="72000"/>
                    <a:lumOff val="28000"/>
                  </a:srgbClr>
                </a:gs>
                <a:gs pos="77000">
                  <a:srgbClr val="7417BD"/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noFill/>
            </a:ln>
            <a:effectLst>
              <a:outerShdw blurRad="101600" dist="50800" dir="5400000" algn="ctr" rotWithShape="0">
                <a:srgbClr val="7030A0">
                  <a:alpha val="70000"/>
                </a:srgbClr>
              </a:outerShdw>
            </a:effectLst>
          </c:spPr>
          <c:invertIfNegative val="0"/>
          <c:cat>
            <c:numRef>
              <c:f>Graph!$BB$1:$DB$1</c:f>
              <c:numCache>
                <c:formatCode>General</c:formatCode>
                <c:ptCount val="5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</c:numCache>
            </c:numRef>
          </c:cat>
          <c:val>
            <c:numRef>
              <c:f>Graph!$BB$4:$DB$4</c:f>
              <c:numCache>
                <c:formatCode>General</c:formatCode>
                <c:ptCount val="53"/>
                <c:pt idx="0">
                  <c:v>54</c:v>
                </c:pt>
                <c:pt idx="1">
                  <c:v>60</c:v>
                </c:pt>
                <c:pt idx="2">
                  <c:v>12</c:v>
                </c:pt>
                <c:pt idx="3">
                  <c:v>87</c:v>
                </c:pt>
                <c:pt idx="4">
                  <c:v>34</c:v>
                </c:pt>
                <c:pt idx="5">
                  <c:v>68</c:v>
                </c:pt>
                <c:pt idx="6">
                  <c:v>69</c:v>
                </c:pt>
                <c:pt idx="7">
                  <c:v>59</c:v>
                </c:pt>
                <c:pt idx="8">
                  <c:v>79</c:v>
                </c:pt>
                <c:pt idx="9">
                  <c:v>58</c:v>
                </c:pt>
                <c:pt idx="10">
                  <c:v>8</c:v>
                </c:pt>
                <c:pt idx="11">
                  <c:v>19</c:v>
                </c:pt>
                <c:pt idx="12">
                  <c:v>23</c:v>
                </c:pt>
                <c:pt idx="13">
                  <c:v>4</c:v>
                </c:pt>
                <c:pt idx="14">
                  <c:v>88</c:v>
                </c:pt>
                <c:pt idx="15">
                  <c:v>65</c:v>
                </c:pt>
                <c:pt idx="16">
                  <c:v>61</c:v>
                </c:pt>
                <c:pt idx="17">
                  <c:v>30</c:v>
                </c:pt>
                <c:pt idx="18">
                  <c:v>3</c:v>
                </c:pt>
                <c:pt idx="19">
                  <c:v>7</c:v>
                </c:pt>
                <c:pt idx="20">
                  <c:v>5</c:v>
                </c:pt>
                <c:pt idx="21">
                  <c:v>20</c:v>
                </c:pt>
                <c:pt idx="22">
                  <c:v>62</c:v>
                </c:pt>
                <c:pt idx="23">
                  <c:v>90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D7-7F48-992E-7A9EC424B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1732367"/>
        <c:axId val="1064624047"/>
      </c:barChart>
      <c:lineChart>
        <c:grouping val="standard"/>
        <c:varyColors val="0"/>
        <c:ser>
          <c:idx val="1"/>
          <c:order val="0"/>
          <c:tx>
            <c:strRef>
              <c:f>Graph!$BA$2</c:f>
              <c:strCache>
                <c:ptCount val="1"/>
                <c:pt idx="0">
                  <c:v>Charge Atelier 6</c:v>
                </c:pt>
              </c:strCache>
            </c:strRef>
          </c:tx>
          <c:spPr>
            <a:ln w="28575" cap="rnd">
              <a:gradFill flip="none" rotWithShape="1">
                <a:gsLst>
                  <a:gs pos="13000">
                    <a:srgbClr val="00B050"/>
                  </a:gs>
                  <a:gs pos="42000">
                    <a:srgbClr val="DD115E">
                      <a:lumMod val="94000"/>
                      <a:lumOff val="6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  <a:round/>
            </a:ln>
            <a:effectLst/>
          </c:spPr>
          <c:marker>
            <c:symbol val="none"/>
          </c:marker>
          <c:cat>
            <c:numRef>
              <c:f>Graph!$BB$1:$DB$1</c:f>
              <c:numCache>
                <c:formatCode>General</c:formatCode>
                <c:ptCount val="5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</c:numCache>
            </c:numRef>
          </c:cat>
          <c:val>
            <c:numRef>
              <c:f>Graph!$BB$2:$DB$2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82</c:v>
                </c:pt>
                <c:pt idx="25">
                  <c:v>34</c:v>
                </c:pt>
                <c:pt idx="26">
                  <c:v>42</c:v>
                </c:pt>
                <c:pt idx="27">
                  <c:v>81</c:v>
                </c:pt>
                <c:pt idx="28">
                  <c:v>73</c:v>
                </c:pt>
                <c:pt idx="29">
                  <c:v>16</c:v>
                </c:pt>
                <c:pt idx="30">
                  <c:v>48</c:v>
                </c:pt>
                <c:pt idx="31">
                  <c:v>31</c:v>
                </c:pt>
                <c:pt idx="32">
                  <c:v>75</c:v>
                </c:pt>
                <c:pt idx="33">
                  <c:v>38</c:v>
                </c:pt>
                <c:pt idx="34">
                  <c:v>31</c:v>
                </c:pt>
                <c:pt idx="35">
                  <c:v>26</c:v>
                </c:pt>
                <c:pt idx="36">
                  <c:v>90</c:v>
                </c:pt>
                <c:pt idx="37">
                  <c:v>35</c:v>
                </c:pt>
                <c:pt idx="38">
                  <c:v>39</c:v>
                </c:pt>
                <c:pt idx="39">
                  <c:v>20</c:v>
                </c:pt>
                <c:pt idx="40">
                  <c:v>92</c:v>
                </c:pt>
                <c:pt idx="41">
                  <c:v>99</c:v>
                </c:pt>
                <c:pt idx="42">
                  <c:v>42</c:v>
                </c:pt>
                <c:pt idx="43">
                  <c:v>100</c:v>
                </c:pt>
                <c:pt idx="44">
                  <c:v>32</c:v>
                </c:pt>
                <c:pt idx="45">
                  <c:v>45</c:v>
                </c:pt>
                <c:pt idx="46">
                  <c:v>95</c:v>
                </c:pt>
                <c:pt idx="47">
                  <c:v>56</c:v>
                </c:pt>
                <c:pt idx="48">
                  <c:v>80</c:v>
                </c:pt>
                <c:pt idx="49">
                  <c:v>95</c:v>
                </c:pt>
                <c:pt idx="50">
                  <c:v>52</c:v>
                </c:pt>
                <c:pt idx="51">
                  <c:v>84</c:v>
                </c:pt>
                <c:pt idx="52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D7-7F48-992E-7A9EC424BAAA}"/>
            </c:ext>
          </c:extLst>
        </c:ser>
        <c:ser>
          <c:idx val="2"/>
          <c:order val="1"/>
          <c:tx>
            <c:strRef>
              <c:f>Graph!$BA$3</c:f>
              <c:strCache>
                <c:ptCount val="1"/>
                <c:pt idx="0">
                  <c:v>Capacite</c:v>
                </c:pt>
              </c:strCache>
            </c:strRef>
          </c:tx>
          <c:spPr>
            <a:ln w="28575" cap="rnd">
              <a:gradFill>
                <a:gsLst>
                  <a:gs pos="37000">
                    <a:srgbClr val="889650"/>
                  </a:gs>
                  <a:gs pos="54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  <c:marker>
            <c:symbol val="none"/>
          </c:marker>
          <c:cat>
            <c:numRef>
              <c:f>Graph!$BB$1:$DB$1</c:f>
              <c:numCache>
                <c:formatCode>General</c:formatCode>
                <c:ptCount val="5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</c:numCache>
            </c:numRef>
          </c:cat>
          <c:val>
            <c:numRef>
              <c:f>Graph!$BB$3:$DB$3</c:f>
              <c:numCache>
                <c:formatCode>General</c:formatCode>
                <c:ptCount val="5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D7-7F48-992E-7A9EC424B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1732367"/>
        <c:axId val="1064624047"/>
      </c:lineChart>
      <c:catAx>
        <c:axId val="16717323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64624047"/>
        <c:crosses val="autoZero"/>
        <c:auto val="1"/>
        <c:lblAlgn val="ctr"/>
        <c:lblOffset val="100"/>
        <c:noMultiLvlLbl val="0"/>
      </c:catAx>
      <c:valAx>
        <c:axId val="1064624047"/>
        <c:scaling>
          <c:orientation val="minMax"/>
        </c:scaling>
        <c:delete val="0"/>
        <c:axPos val="l"/>
        <c:majorGridlines>
          <c:spPr>
            <a:ln w="6350" cap="flat" cmpd="sng" algn="ctr">
              <a:gradFill>
                <a:gsLst>
                  <a:gs pos="35000">
                    <a:schemeClr val="accent1">
                      <a:lumMod val="45000"/>
                      <a:lumOff val="55000"/>
                    </a:schemeClr>
                  </a:gs>
                  <a:gs pos="64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71732367"/>
        <c:crosses val="autoZero"/>
        <c:crossBetween val="between"/>
      </c:valAx>
      <c:spPr>
        <a:solidFill>
          <a:schemeClr val="tx1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ln>
                <a:noFill/>
              </a:ln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bg1">
              <a:lumMod val="95000"/>
            </a:schemeClr>
          </a:solidFill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Donnees!$A$14</c:f>
              <c:strCache>
                <c:ptCount val="1"/>
                <c:pt idx="0">
                  <c:v>Historique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Donnees!$B$14:$BB$14</c:f>
              <c:numCache>
                <c:formatCode>General</c:formatCode>
                <c:ptCount val="53"/>
                <c:pt idx="0">
                  <c:v>79</c:v>
                </c:pt>
                <c:pt idx="1">
                  <c:v>55</c:v>
                </c:pt>
                <c:pt idx="2">
                  <c:v>4</c:v>
                </c:pt>
                <c:pt idx="3">
                  <c:v>30</c:v>
                </c:pt>
                <c:pt idx="4">
                  <c:v>38</c:v>
                </c:pt>
                <c:pt idx="5">
                  <c:v>19</c:v>
                </c:pt>
                <c:pt idx="6">
                  <c:v>29</c:v>
                </c:pt>
                <c:pt idx="7">
                  <c:v>51</c:v>
                </c:pt>
                <c:pt idx="8">
                  <c:v>44</c:v>
                </c:pt>
                <c:pt idx="9">
                  <c:v>19</c:v>
                </c:pt>
                <c:pt idx="10">
                  <c:v>19</c:v>
                </c:pt>
                <c:pt idx="11">
                  <c:v>48</c:v>
                </c:pt>
                <c:pt idx="12">
                  <c:v>10</c:v>
                </c:pt>
                <c:pt idx="13">
                  <c:v>79</c:v>
                </c:pt>
                <c:pt idx="14">
                  <c:v>74</c:v>
                </c:pt>
                <c:pt idx="15">
                  <c:v>63</c:v>
                </c:pt>
                <c:pt idx="16">
                  <c:v>47</c:v>
                </c:pt>
                <c:pt idx="17">
                  <c:v>18</c:v>
                </c:pt>
                <c:pt idx="18">
                  <c:v>61</c:v>
                </c:pt>
                <c:pt idx="19">
                  <c:v>67</c:v>
                </c:pt>
                <c:pt idx="20">
                  <c:v>27</c:v>
                </c:pt>
                <c:pt idx="21">
                  <c:v>48</c:v>
                </c:pt>
                <c:pt idx="22">
                  <c:v>60</c:v>
                </c:pt>
                <c:pt idx="23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1A-8041-A5D5-02C68E023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7303807"/>
        <c:axId val="1397015503"/>
      </c:barChart>
      <c:lineChart>
        <c:grouping val="standard"/>
        <c:varyColors val="0"/>
        <c:ser>
          <c:idx val="0"/>
          <c:order val="0"/>
          <c:tx>
            <c:strRef>
              <c:f>Donnees!$A$12</c:f>
              <c:strCache>
                <c:ptCount val="1"/>
                <c:pt idx="0">
                  <c:v>Charge Atelier 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Donnees!$B$12:$BB$12</c:f>
              <c:numCache>
                <c:formatCode>General</c:formatCode>
                <c:ptCount val="53"/>
                <c:pt idx="24">
                  <c:v>78</c:v>
                </c:pt>
                <c:pt idx="25">
                  <c:v>49</c:v>
                </c:pt>
                <c:pt idx="26">
                  <c:v>70</c:v>
                </c:pt>
                <c:pt idx="27">
                  <c:v>32</c:v>
                </c:pt>
                <c:pt idx="28">
                  <c:v>21</c:v>
                </c:pt>
                <c:pt idx="29">
                  <c:v>48</c:v>
                </c:pt>
                <c:pt idx="30">
                  <c:v>59</c:v>
                </c:pt>
                <c:pt idx="31">
                  <c:v>48</c:v>
                </c:pt>
                <c:pt idx="32">
                  <c:v>68</c:v>
                </c:pt>
                <c:pt idx="33">
                  <c:v>25</c:v>
                </c:pt>
                <c:pt idx="34">
                  <c:v>5</c:v>
                </c:pt>
                <c:pt idx="35">
                  <c:v>6</c:v>
                </c:pt>
                <c:pt idx="36">
                  <c:v>56</c:v>
                </c:pt>
                <c:pt idx="37">
                  <c:v>5</c:v>
                </c:pt>
                <c:pt idx="38">
                  <c:v>72</c:v>
                </c:pt>
                <c:pt idx="39">
                  <c:v>45</c:v>
                </c:pt>
                <c:pt idx="40">
                  <c:v>26</c:v>
                </c:pt>
                <c:pt idx="41">
                  <c:v>71</c:v>
                </c:pt>
                <c:pt idx="42">
                  <c:v>80</c:v>
                </c:pt>
                <c:pt idx="43">
                  <c:v>66</c:v>
                </c:pt>
                <c:pt idx="44">
                  <c:v>48</c:v>
                </c:pt>
                <c:pt idx="45">
                  <c:v>11</c:v>
                </c:pt>
                <c:pt idx="46">
                  <c:v>18</c:v>
                </c:pt>
                <c:pt idx="47">
                  <c:v>48</c:v>
                </c:pt>
                <c:pt idx="48">
                  <c:v>24</c:v>
                </c:pt>
                <c:pt idx="49">
                  <c:v>24</c:v>
                </c:pt>
                <c:pt idx="50">
                  <c:v>40</c:v>
                </c:pt>
                <c:pt idx="51">
                  <c:v>50</c:v>
                </c:pt>
                <c:pt idx="52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1A-8041-A5D5-02C68E023A13}"/>
            </c:ext>
          </c:extLst>
        </c:ser>
        <c:ser>
          <c:idx val="1"/>
          <c:order val="1"/>
          <c:tx>
            <c:strRef>
              <c:f>Donnees!$A$13</c:f>
              <c:strCache>
                <c:ptCount val="1"/>
                <c:pt idx="0">
                  <c:v>Capacite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Donnees!$B$13:$BB$13</c:f>
              <c:numCache>
                <c:formatCode>General</c:formatCode>
                <c:ptCount val="53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1A-8041-A5D5-02C68E023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7303807"/>
        <c:axId val="1397015503"/>
      </c:lineChart>
      <c:catAx>
        <c:axId val="139730380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97015503"/>
        <c:crosses val="autoZero"/>
        <c:auto val="1"/>
        <c:lblAlgn val="ctr"/>
        <c:lblOffset val="100"/>
        <c:noMultiLvlLbl val="0"/>
      </c:catAx>
      <c:valAx>
        <c:axId val="1397015503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973038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15" fmlaLink="$AY$1" max="5" page="10" val="5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278171</xdr:colOff>
      <xdr:row>0</xdr:row>
      <xdr:rowOff>127819</xdr:rowOff>
    </xdr:from>
    <xdr:to>
      <xdr:col>26</xdr:col>
      <xdr:colOff>204839</xdr:colOff>
      <xdr:row>4</xdr:row>
      <xdr:rowOff>102419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51A207B2-FBF8-6901-B4CF-98C677E07A7B}"/>
            </a:ext>
          </a:extLst>
        </xdr:cNvPr>
        <xdr:cNvGrpSpPr/>
      </xdr:nvGrpSpPr>
      <xdr:grpSpPr>
        <a:xfrm>
          <a:off x="278171" y="127819"/>
          <a:ext cx="21229894" cy="814439"/>
          <a:chOff x="278171" y="127819"/>
          <a:chExt cx="21229894" cy="814439"/>
        </a:xfrm>
        <a:effectLst>
          <a:outerShdw blurRad="63500" sx="91000" sy="91000" algn="ctr" rotWithShape="0">
            <a:prstClr val="black">
              <a:alpha val="70775"/>
            </a:prstClr>
          </a:outerShdw>
        </a:effectLst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FBCCA34D-90AC-A302-D862-AC9CA82D2C86}"/>
              </a:ext>
            </a:extLst>
          </xdr:cNvPr>
          <xdr:cNvSpPr/>
        </xdr:nvSpPr>
        <xdr:spPr>
          <a:xfrm>
            <a:off x="278171" y="127819"/>
            <a:ext cx="21229894" cy="814439"/>
          </a:xfrm>
          <a:prstGeom prst="rect">
            <a:avLst/>
          </a:prstGeom>
          <a:gradFill flip="none" rotWithShape="1">
            <a:gsLst>
              <a:gs pos="24000">
                <a:srgbClr val="7417BD"/>
              </a:gs>
              <a:gs pos="90000">
                <a:srgbClr val="DD115E"/>
              </a:gs>
            </a:gsLst>
            <a:path path="circle">
              <a:fillToRect l="100000" t="100000"/>
            </a:path>
            <a:tileRect r="-100000" b="-100000"/>
          </a:gradFill>
          <a:ln w="31750">
            <a:noFill/>
          </a:ln>
          <a:scene3d>
            <a:camera prst="orthographicFront"/>
            <a:lightRig rig="threePt" dir="t"/>
          </a:scene3d>
          <a:sp3d>
            <a:bevelT prst="angle"/>
            <a:contourClr>
              <a:srgbClr val="DD115E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92A24022-5FB8-5602-BC8B-61304B73D37E}"/>
              </a:ext>
            </a:extLst>
          </xdr:cNvPr>
          <xdr:cNvSpPr txBox="1"/>
        </xdr:nvSpPr>
        <xdr:spPr>
          <a:xfrm>
            <a:off x="8389682" y="165100"/>
            <a:ext cx="5006872" cy="4903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3200" b="1"/>
              <a:t>TABLEAU DE BORD </a:t>
            </a:r>
          </a:p>
        </xdr:txBody>
      </xdr:sp>
    </xdr:grpSp>
    <xdr:clientData/>
  </xdr:twoCellAnchor>
  <xdr:twoCellAnchor>
    <xdr:from>
      <xdr:col>0</xdr:col>
      <xdr:colOff>623528</xdr:colOff>
      <xdr:row>4</xdr:row>
      <xdr:rowOff>163871</xdr:rowOff>
    </xdr:from>
    <xdr:to>
      <xdr:col>15</xdr:col>
      <xdr:colOff>400508</xdr:colOff>
      <xdr:row>29</xdr:row>
      <xdr:rowOff>21081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C01D4EF7-6C93-FC99-BE72-4C4DD7369350}"/>
            </a:ext>
          </a:extLst>
        </xdr:cNvPr>
        <xdr:cNvGrpSpPr/>
      </xdr:nvGrpSpPr>
      <xdr:grpSpPr>
        <a:xfrm>
          <a:off x="623528" y="1003710"/>
          <a:ext cx="12067303" cy="4998661"/>
          <a:chOff x="418689" y="1331452"/>
          <a:chExt cx="12067303" cy="4998661"/>
        </a:xfrm>
      </xdr:grpSpPr>
      <xdr:graphicFrame macro="">
        <xdr:nvGraphicFramePr>
          <xdr:cNvPr id="4" name="Graphique 3">
            <a:extLst>
              <a:ext uri="{FF2B5EF4-FFF2-40B4-BE49-F238E27FC236}">
                <a16:creationId xmlns:a16="http://schemas.microsoft.com/office/drawing/2014/main" id="{197BFD8E-0304-636B-EAA3-0DA27BCE87FA}"/>
              </a:ext>
            </a:extLst>
          </xdr:cNvPr>
          <xdr:cNvGraphicFramePr/>
        </xdr:nvGraphicFramePr>
        <xdr:xfrm>
          <a:off x="418689" y="1549605"/>
          <a:ext cx="12067303" cy="478050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X$2">
        <xdr:nvSpPr>
          <xdr:cNvPr id="8" name="Rectangle 7">
            <a:extLst>
              <a:ext uri="{FF2B5EF4-FFF2-40B4-BE49-F238E27FC236}">
                <a16:creationId xmlns:a16="http://schemas.microsoft.com/office/drawing/2014/main" id="{400E82DE-A00C-799A-DCC7-4B88073BE6D1}"/>
              </a:ext>
            </a:extLst>
          </xdr:cNvPr>
          <xdr:cNvSpPr/>
        </xdr:nvSpPr>
        <xdr:spPr>
          <a:xfrm>
            <a:off x="5571612" y="1331452"/>
            <a:ext cx="1372419" cy="4301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2000" b="1" i="0" u="none" strike="noStrike">
                <a:solidFill>
                  <a:schemeClr val="bg1"/>
                </a:solidFill>
                <a:latin typeface="Calibri"/>
                <a:cs typeface="Calibri"/>
              </a:rPr>
              <a:t>Atelier :</a:t>
            </a:r>
            <a:r>
              <a:rPr lang="en-US" sz="2000" b="1" i="0" u="none" strike="noStrike" baseline="0">
                <a:solidFill>
                  <a:schemeClr val="bg1"/>
                </a:solidFill>
                <a:latin typeface="Calibri"/>
                <a:cs typeface="Calibri"/>
              </a:rPr>
              <a:t> </a:t>
            </a:r>
            <a:fld id="{4AED12B7-8409-2848-9DE4-CB84E839306F}" type="TxLink">
              <a:rPr lang="en-US" sz="20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6</a:t>
            </a:fld>
            <a:endParaRPr lang="fr-FR" sz="20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11</xdr:col>
      <xdr:colOff>696452</xdr:colOff>
      <xdr:row>36</xdr:row>
      <xdr:rowOff>151171</xdr:rowOff>
    </xdr:from>
    <xdr:to>
      <xdr:col>17</xdr:col>
      <xdr:colOff>0</xdr:colOff>
      <xdr:row>40</xdr:row>
      <xdr:rowOff>61452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AE39BC40-6398-2546-BA43-CFCAA2EDE180}"/>
            </a:ext>
          </a:extLst>
        </xdr:cNvPr>
        <xdr:cNvSpPr/>
      </xdr:nvSpPr>
      <xdr:spPr>
        <a:xfrm>
          <a:off x="9709355" y="7566332"/>
          <a:ext cx="4219677" cy="7501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fr-FR" sz="2000" b="1">
              <a:solidFill>
                <a:schemeClr val="bg1"/>
              </a:solidFill>
            </a:rPr>
            <a:t>Goulot d'étranglement :  Atelier 4</a:t>
          </a:r>
        </a:p>
      </xdr:txBody>
    </xdr:sp>
    <xdr:clientData/>
  </xdr:twoCellAnchor>
  <xdr:twoCellAnchor>
    <xdr:from>
      <xdr:col>7</xdr:col>
      <xdr:colOff>407628</xdr:colOff>
      <xdr:row>37</xdr:row>
      <xdr:rowOff>133963</xdr:rowOff>
    </xdr:from>
    <xdr:to>
      <xdr:col>19</xdr:col>
      <xdr:colOff>716935</xdr:colOff>
      <xdr:row>51</xdr:row>
      <xdr:rowOff>163871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F98B8F75-59D5-4D03-01F7-B03F73EAA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635000</xdr:colOff>
          <xdr:row>6</xdr:row>
          <xdr:rowOff>102421</xdr:rowOff>
        </xdr:from>
        <xdr:to>
          <xdr:col>16</xdr:col>
          <xdr:colOff>586658</xdr:colOff>
          <xdr:row>28</xdr:row>
          <xdr:rowOff>163871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52D2F1C1-641F-76D6-03AE-D4BEDB956C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40967</xdr:rowOff>
    </xdr:from>
    <xdr:to>
      <xdr:col>26</xdr:col>
      <xdr:colOff>20483</xdr:colOff>
      <xdr:row>4</xdr:row>
      <xdr:rowOff>42606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A0A68458-2B86-AD45-8AF7-94BAEACE0299}"/>
            </a:ext>
          </a:extLst>
        </xdr:cNvPr>
        <xdr:cNvGrpSpPr/>
      </xdr:nvGrpSpPr>
      <xdr:grpSpPr>
        <a:xfrm>
          <a:off x="0" y="40967"/>
          <a:ext cx="21323709" cy="841478"/>
          <a:chOff x="52848" y="25400"/>
          <a:chExt cx="21229894" cy="814439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AABBF872-7F5F-D7F5-D66B-A9EE5D7665CC}"/>
              </a:ext>
            </a:extLst>
          </xdr:cNvPr>
          <xdr:cNvSpPr/>
        </xdr:nvSpPr>
        <xdr:spPr>
          <a:xfrm>
            <a:off x="52848" y="25400"/>
            <a:ext cx="21229894" cy="814439"/>
          </a:xfrm>
          <a:prstGeom prst="rect">
            <a:avLst/>
          </a:prstGeom>
          <a:ln w="31750">
            <a:noFill/>
          </a:ln>
          <a:scene3d>
            <a:camera prst="orthographicFront"/>
            <a:lightRig rig="threePt" dir="t"/>
          </a:scene3d>
          <a:sp3d contourW="25400">
            <a:bevelT/>
            <a:contourClr>
              <a:schemeClr val="bg1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DC0D3BB3-6B0D-98B3-E7C1-3ECE9BCE7FD2}"/>
              </a:ext>
            </a:extLst>
          </xdr:cNvPr>
          <xdr:cNvSpPr txBox="1"/>
        </xdr:nvSpPr>
        <xdr:spPr>
          <a:xfrm>
            <a:off x="8164359" y="165100"/>
            <a:ext cx="5006872" cy="4903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3200" b="1"/>
              <a:t>TABLEAU DE BORD </a:t>
            </a:r>
          </a:p>
        </xdr:txBody>
      </xdr:sp>
    </xdr:grpSp>
    <xdr:clientData/>
  </xdr:twoCellAnchor>
  <xdr:twoCellAnchor>
    <xdr:from>
      <xdr:col>5</xdr:col>
      <xdr:colOff>553065</xdr:colOff>
      <xdr:row>4</xdr:row>
      <xdr:rowOff>40969</xdr:rowOff>
    </xdr:from>
    <xdr:to>
      <xdr:col>7</xdr:col>
      <xdr:colOff>286774</xdr:colOff>
      <xdr:row>6</xdr:row>
      <xdr:rowOff>61452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ACF89121-7126-074A-A3E9-05B8AEEC83A2}"/>
            </a:ext>
          </a:extLst>
        </xdr:cNvPr>
        <xdr:cNvSpPr/>
      </xdr:nvSpPr>
      <xdr:spPr>
        <a:xfrm>
          <a:off x="4680565" y="866469"/>
          <a:ext cx="1384709" cy="42688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 i="0" u="none" strike="noStrike">
              <a:solidFill>
                <a:srgbClr val="000000"/>
              </a:solidFill>
              <a:latin typeface="Calibri"/>
              <a:cs typeface="Calibri"/>
            </a:rPr>
            <a:t> Efficient</a:t>
          </a:r>
        </a:p>
      </xdr:txBody>
    </xdr:sp>
    <xdr:clientData/>
  </xdr:twoCellAnchor>
  <xdr:twoCellAnchor>
    <xdr:from>
      <xdr:col>10</xdr:col>
      <xdr:colOff>635001</xdr:colOff>
      <xdr:row>22</xdr:row>
      <xdr:rowOff>69235</xdr:rowOff>
    </xdr:from>
    <xdr:to>
      <xdr:col>15</xdr:col>
      <xdr:colOff>716935</xdr:colOff>
      <xdr:row>24</xdr:row>
      <xdr:rowOff>143387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93424604-BBB2-584D-A57E-21AFE6CC0C44}"/>
            </a:ext>
          </a:extLst>
        </xdr:cNvPr>
        <xdr:cNvSpPr/>
      </xdr:nvSpPr>
      <xdr:spPr>
        <a:xfrm>
          <a:off x="8828549" y="4616654"/>
          <a:ext cx="4178709" cy="48383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fr-FR" sz="2000" b="1">
              <a:solidFill>
                <a:schemeClr val="tx1"/>
              </a:solidFill>
            </a:rPr>
            <a:t>Taux de presence :</a:t>
          </a:r>
        </a:p>
      </xdr:txBody>
    </xdr:sp>
    <xdr:clientData/>
  </xdr:twoCellAnchor>
  <xdr:twoCellAnchor>
    <xdr:from>
      <xdr:col>19</xdr:col>
      <xdr:colOff>450645</xdr:colOff>
      <xdr:row>4</xdr:row>
      <xdr:rowOff>122903</xdr:rowOff>
    </xdr:from>
    <xdr:to>
      <xdr:col>24</xdr:col>
      <xdr:colOff>532580</xdr:colOff>
      <xdr:row>6</xdr:row>
      <xdr:rowOff>197056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AB5BE8B3-869D-F046-815C-56788451B03A}"/>
            </a:ext>
          </a:extLst>
        </xdr:cNvPr>
        <xdr:cNvSpPr/>
      </xdr:nvSpPr>
      <xdr:spPr>
        <a:xfrm>
          <a:off x="16018387" y="962742"/>
          <a:ext cx="4178709" cy="48383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fr-FR" sz="2000" b="1">
              <a:solidFill>
                <a:schemeClr val="tx1"/>
              </a:solidFill>
            </a:rPr>
            <a:t>Rebut :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200525</xdr:colOff>
      <xdr:row>0</xdr:row>
      <xdr:rowOff>44562</xdr:rowOff>
    </xdr:from>
    <xdr:to>
      <xdr:col>35</xdr:col>
      <xdr:colOff>178244</xdr:colOff>
      <xdr:row>114</xdr:row>
      <xdr:rowOff>155746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8A269FA0-55D2-0307-778E-7F2384EF3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95613" y="44562"/>
          <a:ext cx="22236140" cy="2297118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B7930-A7A1-2B46-A5ED-2B397AB9FECD}">
  <sheetPr codeName="Feuil1">
    <tabColor rgb="FF92D050"/>
  </sheetPr>
  <dimension ref="A1:DB40"/>
  <sheetViews>
    <sheetView showGridLines="0" tabSelected="1" zoomScale="62" workbookViewId="0">
      <selection activeCell="S16" sqref="S16"/>
    </sheetView>
  </sheetViews>
  <sheetFormatPr baseColWidth="10" defaultRowHeight="16" x14ac:dyDescent="0.2"/>
  <cols>
    <col min="1" max="49" width="10.83203125" style="40"/>
    <col min="50" max="50" width="12.33203125" style="40" bestFit="1" customWidth="1"/>
    <col min="51" max="51" width="17.1640625" style="40" bestFit="1" customWidth="1"/>
    <col min="52" max="52" width="10.83203125" style="40"/>
    <col min="53" max="53" width="14.33203125" style="40" bestFit="1" customWidth="1"/>
    <col min="54" max="16384" width="10.83203125" style="40"/>
  </cols>
  <sheetData>
    <row r="1" spans="1:106" x14ac:dyDescent="0.2">
      <c r="AU1" s="40" t="s">
        <v>2</v>
      </c>
      <c r="AV1" s="40">
        <v>1</v>
      </c>
      <c r="AW1" s="40" t="s">
        <v>3</v>
      </c>
      <c r="AX1" s="40" t="s">
        <v>13</v>
      </c>
      <c r="AY1" s="40">
        <v>5</v>
      </c>
      <c r="BA1" s="40" t="s">
        <v>0</v>
      </c>
      <c r="BB1" s="40">
        <v>1</v>
      </c>
      <c r="BC1" s="40">
        <v>2</v>
      </c>
      <c r="BD1" s="40">
        <v>3</v>
      </c>
      <c r="BE1" s="40">
        <v>4</v>
      </c>
      <c r="BF1" s="40">
        <v>5</v>
      </c>
      <c r="BG1" s="40">
        <v>6</v>
      </c>
      <c r="BH1" s="40">
        <v>7</v>
      </c>
      <c r="BI1" s="40">
        <v>8</v>
      </c>
      <c r="BJ1" s="40">
        <v>9</v>
      </c>
      <c r="BK1" s="40">
        <v>10</v>
      </c>
      <c r="BL1" s="40">
        <v>11</v>
      </c>
      <c r="BM1" s="40">
        <v>12</v>
      </c>
      <c r="BN1" s="40">
        <v>13</v>
      </c>
      <c r="BO1" s="40">
        <v>14</v>
      </c>
      <c r="BP1" s="40">
        <v>15</v>
      </c>
      <c r="BQ1" s="40">
        <v>16</v>
      </c>
      <c r="BR1" s="40">
        <v>17</v>
      </c>
      <c r="BS1" s="40">
        <v>18</v>
      </c>
      <c r="BT1" s="40">
        <v>19</v>
      </c>
      <c r="BU1" s="40">
        <v>20</v>
      </c>
      <c r="BV1" s="40">
        <v>21</v>
      </c>
      <c r="BW1" s="40">
        <v>22</v>
      </c>
      <c r="BX1" s="40">
        <v>23</v>
      </c>
      <c r="BY1" s="40">
        <v>24</v>
      </c>
      <c r="BZ1" s="40">
        <v>25</v>
      </c>
      <c r="CA1" s="40">
        <v>26</v>
      </c>
      <c r="CB1" s="40">
        <v>27</v>
      </c>
      <c r="CC1" s="40">
        <v>28</v>
      </c>
      <c r="CD1" s="40">
        <v>29</v>
      </c>
      <c r="CE1" s="40">
        <v>30</v>
      </c>
      <c r="CF1" s="40">
        <v>31</v>
      </c>
      <c r="CG1" s="40">
        <v>32</v>
      </c>
      <c r="CH1" s="40">
        <v>33</v>
      </c>
      <c r="CI1" s="40">
        <v>34</v>
      </c>
      <c r="CJ1" s="40">
        <v>35</v>
      </c>
      <c r="CK1" s="40">
        <v>36</v>
      </c>
      <c r="CL1" s="40">
        <v>37</v>
      </c>
      <c r="CM1" s="40">
        <v>38</v>
      </c>
      <c r="CN1" s="40">
        <v>39</v>
      </c>
      <c r="CO1" s="40">
        <v>40</v>
      </c>
      <c r="CP1" s="40">
        <v>41</v>
      </c>
      <c r="CQ1" s="40">
        <v>42</v>
      </c>
      <c r="CR1" s="40">
        <v>43</v>
      </c>
      <c r="CS1" s="40">
        <v>44</v>
      </c>
      <c r="CT1" s="40">
        <v>45</v>
      </c>
      <c r="CU1" s="40">
        <v>46</v>
      </c>
      <c r="CV1" s="40">
        <v>47</v>
      </c>
      <c r="CW1" s="40">
        <v>48</v>
      </c>
      <c r="CX1" s="40">
        <v>49</v>
      </c>
      <c r="CY1" s="40">
        <v>50</v>
      </c>
      <c r="CZ1" s="40">
        <v>51</v>
      </c>
      <c r="DA1" s="40">
        <v>52</v>
      </c>
      <c r="DB1" s="40">
        <v>53</v>
      </c>
    </row>
    <row r="2" spans="1:106" x14ac:dyDescent="0.2">
      <c r="AV2" s="40">
        <v>2</v>
      </c>
      <c r="AW2" s="40" t="s">
        <v>4</v>
      </c>
      <c r="AX2" s="40">
        <f>AY1 +1</f>
        <v>6</v>
      </c>
      <c r="AY2" s="40">
        <f>AY1+1</f>
        <v>6</v>
      </c>
      <c r="AZ2" s="40">
        <v>1</v>
      </c>
      <c r="BA2" s="40" t="str">
        <f>IF($AY$2=1,INDEX(Donnees!$A$3:$BB$20,ROWS($AZ$2:AZ2) + 3 * $AY$1,COLUMNS($AZ$2:AZ2)),INDEX(Donnees!$A$3:$BB$20,ROWS($AZ$2:AZ2)+ 3 * $AY$1,COLUMNS($AZ$2:AZ2)))</f>
        <v>Charge Atelier 6</v>
      </c>
      <c r="BB2" s="40">
        <f>IF($AY$2=1,INDEX(Donnees!$A$3:$BB$20,ROWS($AZ$2:BA2) + 3 * $AY$1,COLUMNS($AZ$2:BA2)),INDEX(Donnees!$A$3:$BB$20,ROWS($AZ$2:BA2)+ 3 * $AY$1,COLUMNS($AZ$2:BA2)))</f>
        <v>0</v>
      </c>
      <c r="BC2" s="40">
        <f>IF($AY$2=1,INDEX(Donnees!$A$3:$BB$20,ROWS($AZ$2:BB2) + 3 * $AY$1,COLUMNS($AZ$2:BB2)),INDEX(Donnees!$A$3:$BB$20,ROWS($AZ$2:BB2)+ 3 * $AY$1,COLUMNS($AZ$2:BB2)))</f>
        <v>0</v>
      </c>
      <c r="BD2" s="40">
        <f>IF($AY$2=1,INDEX(Donnees!$A$3:$BB$20,ROWS($AZ$2:BC2) + 3 * $AY$1,COLUMNS($AZ$2:BC2)),INDEX(Donnees!$A$3:$BB$20,ROWS($AZ$2:BC2)+ 3 * $AY$1,COLUMNS($AZ$2:BC2)))</f>
        <v>0</v>
      </c>
      <c r="BE2" s="40">
        <f>IF($AY$2=1,INDEX(Donnees!$A$3:$BB$20,ROWS($AZ$2:BD2) + 3 * $AY$1,COLUMNS($AZ$2:BD2)),INDEX(Donnees!$A$3:$BB$20,ROWS($AZ$2:BD2)+ 3 * $AY$1,COLUMNS($AZ$2:BD2)))</f>
        <v>0</v>
      </c>
      <c r="BF2" s="40">
        <f>IF($AY$2=1,INDEX(Donnees!$A$3:$BB$20,ROWS($AZ$2:BE2) + 3 * $AY$1,COLUMNS($AZ$2:BE2)),INDEX(Donnees!$A$3:$BB$20,ROWS($AZ$2:BE2)+ 3 * $AY$1,COLUMNS($AZ$2:BE2)))</f>
        <v>0</v>
      </c>
      <c r="BG2" s="40">
        <f>IF($AY$2=1,INDEX(Donnees!$A$3:$BB$20,ROWS($AZ$2:BF2) + 3 * $AY$1,COLUMNS($AZ$2:BF2)),INDEX(Donnees!$A$3:$BB$20,ROWS($AZ$2:BF2)+ 3 * $AY$1,COLUMNS($AZ$2:BF2)))</f>
        <v>0</v>
      </c>
      <c r="BH2" s="40">
        <f>IF($AY$2=1,INDEX(Donnees!$A$3:$BB$20,ROWS($AZ$2:BG2) + 3 * $AY$1,COLUMNS($AZ$2:BG2)),INDEX(Donnees!$A$3:$BB$20,ROWS($AZ$2:BG2)+ 3 * $AY$1,COLUMNS($AZ$2:BG2)))</f>
        <v>0</v>
      </c>
      <c r="BI2" s="40">
        <f>IF($AY$2=1,INDEX(Donnees!$A$3:$BB$20,ROWS($AZ$2:BH2) + 3 * $AY$1,COLUMNS($AZ$2:BH2)),INDEX(Donnees!$A$3:$BB$20,ROWS($AZ$2:BH2)+ 3 * $AY$1,COLUMNS($AZ$2:BH2)))</f>
        <v>0</v>
      </c>
      <c r="BJ2" s="40">
        <f>IF($AY$2=1,INDEX(Donnees!$A$3:$BB$20,ROWS($AZ$2:BI2) + 3 * $AY$1,COLUMNS($AZ$2:BI2)),INDEX(Donnees!$A$3:$BB$20,ROWS($AZ$2:BI2)+ 3 * $AY$1,COLUMNS($AZ$2:BI2)))</f>
        <v>0</v>
      </c>
      <c r="BK2" s="40">
        <f>IF($AY$2=1,INDEX(Donnees!$A$3:$BB$20,ROWS($AZ$2:BJ2) + 3 * $AY$1,COLUMNS($AZ$2:BJ2)),INDEX(Donnees!$A$3:$BB$20,ROWS($AZ$2:BJ2)+ 3 * $AY$1,COLUMNS($AZ$2:BJ2)))</f>
        <v>0</v>
      </c>
      <c r="BL2" s="40">
        <f>IF($AY$2=1,INDEX(Donnees!$A$3:$BB$20,ROWS($AZ$2:BK2) + 3 * $AY$1,COLUMNS($AZ$2:BK2)),INDEX(Donnees!$A$3:$BB$20,ROWS($AZ$2:BK2)+ 3 * $AY$1,COLUMNS($AZ$2:BK2)))</f>
        <v>0</v>
      </c>
      <c r="BM2" s="40">
        <f>IF($AY$2=1,INDEX(Donnees!$A$3:$BB$20,ROWS($AZ$2:BL2) + 3 * $AY$1,COLUMNS($AZ$2:BL2)),INDEX(Donnees!$A$3:$BB$20,ROWS($AZ$2:BL2)+ 3 * $AY$1,COLUMNS($AZ$2:BL2)))</f>
        <v>0</v>
      </c>
      <c r="BN2" s="40">
        <f>IF($AY$2=1,INDEX(Donnees!$A$3:$BB$20,ROWS($AZ$2:BM2) + 3 * $AY$1,COLUMNS($AZ$2:BM2)),INDEX(Donnees!$A$3:$BB$20,ROWS($AZ$2:BM2)+ 3 * $AY$1,COLUMNS($AZ$2:BM2)))</f>
        <v>0</v>
      </c>
      <c r="BO2" s="40">
        <f>IF($AY$2=1,INDEX(Donnees!$A$3:$BB$20,ROWS($AZ$2:BN2) + 3 * $AY$1,COLUMNS($AZ$2:BN2)),INDEX(Donnees!$A$3:$BB$20,ROWS($AZ$2:BN2)+ 3 * $AY$1,COLUMNS($AZ$2:BN2)))</f>
        <v>0</v>
      </c>
      <c r="BP2" s="40">
        <f>IF($AY$2=1,INDEX(Donnees!$A$3:$BB$20,ROWS($AZ$2:BO2) + 3 * $AY$1,COLUMNS($AZ$2:BO2)),INDEX(Donnees!$A$3:$BB$20,ROWS($AZ$2:BO2)+ 3 * $AY$1,COLUMNS($AZ$2:BO2)))</f>
        <v>0</v>
      </c>
      <c r="BQ2" s="40">
        <f>IF($AY$2=1,INDEX(Donnees!$A$3:$BB$20,ROWS($AZ$2:BP2) + 3 * $AY$1,COLUMNS($AZ$2:BP2)),INDEX(Donnees!$A$3:$BB$20,ROWS($AZ$2:BP2)+ 3 * $AY$1,COLUMNS($AZ$2:BP2)))</f>
        <v>0</v>
      </c>
      <c r="BR2" s="40">
        <f>IF($AY$2=1,INDEX(Donnees!$A$3:$BB$20,ROWS($AZ$2:BQ2) + 3 * $AY$1,COLUMNS($AZ$2:BQ2)),INDEX(Donnees!$A$3:$BB$20,ROWS($AZ$2:BQ2)+ 3 * $AY$1,COLUMNS($AZ$2:BQ2)))</f>
        <v>0</v>
      </c>
      <c r="BS2" s="40">
        <f>IF($AY$2=1,INDEX(Donnees!$A$3:$BB$20,ROWS($AZ$2:BR2) + 3 * $AY$1,COLUMNS($AZ$2:BR2)),INDEX(Donnees!$A$3:$BB$20,ROWS($AZ$2:BR2)+ 3 * $AY$1,COLUMNS($AZ$2:BR2)))</f>
        <v>0</v>
      </c>
      <c r="BT2" s="40">
        <f>IF($AY$2=1,INDEX(Donnees!$A$3:$BB$20,ROWS($AZ$2:BS2) + 3 * $AY$1,COLUMNS($AZ$2:BS2)),INDEX(Donnees!$A$3:$BB$20,ROWS($AZ$2:BS2)+ 3 * $AY$1,COLUMNS($AZ$2:BS2)))</f>
        <v>0</v>
      </c>
      <c r="BU2" s="40">
        <f>IF($AY$2=1,INDEX(Donnees!$A$3:$BB$20,ROWS($AZ$2:BT2) + 3 * $AY$1,COLUMNS($AZ$2:BT2)),INDEX(Donnees!$A$3:$BB$20,ROWS($AZ$2:BT2)+ 3 * $AY$1,COLUMNS($AZ$2:BT2)))</f>
        <v>0</v>
      </c>
      <c r="BV2" s="40">
        <f>IF($AY$2=1,INDEX(Donnees!$A$3:$BB$20,ROWS($AZ$2:BU2) + 3 * $AY$1,COLUMNS($AZ$2:BU2)),INDEX(Donnees!$A$3:$BB$20,ROWS($AZ$2:BU2)+ 3 * $AY$1,COLUMNS($AZ$2:BU2)))</f>
        <v>0</v>
      </c>
      <c r="BW2" s="40">
        <f>IF($AY$2=1,INDEX(Donnees!$A$3:$BB$20,ROWS($AZ$2:BV2) + 3 * $AY$1,COLUMNS($AZ$2:BV2)),INDEX(Donnees!$A$3:$BB$20,ROWS($AZ$2:BV2)+ 3 * $AY$1,COLUMNS($AZ$2:BV2)))</f>
        <v>0</v>
      </c>
      <c r="BX2" s="40">
        <f>IF($AY$2=1,INDEX(Donnees!$A$3:$BB$20,ROWS($AZ$2:BW2) + 3 * $AY$1,COLUMNS($AZ$2:BW2)),INDEX(Donnees!$A$3:$BB$20,ROWS($AZ$2:BW2)+ 3 * $AY$1,COLUMNS($AZ$2:BW2)))</f>
        <v>0</v>
      </c>
      <c r="BY2" s="40">
        <f>IF($AY$2=1,INDEX(Donnees!$A$3:$BB$20,ROWS($AZ$2:BX2) + 3 * $AY$1,COLUMNS($AZ$2:BX2)),INDEX(Donnees!$A$3:$BB$20,ROWS($AZ$2:BX2)+ 3 * $AY$1,COLUMNS($AZ$2:BX2)))</f>
        <v>0</v>
      </c>
      <c r="BZ2" s="40">
        <f>IF($AY$2=1,INDEX(Donnees!$A$3:$BB$20,ROWS($AZ$2:BY2) + 3 * $AY$1,COLUMNS($AZ$2:BY2)),INDEX(Donnees!$A$3:$BB$20,ROWS($AZ$2:BY2)+ 3 * $AY$1,COLUMNS($AZ$2:BY2)))</f>
        <v>82</v>
      </c>
      <c r="CA2" s="40">
        <f>IF($AY$2=1,INDEX(Donnees!$A$3:$BB$20,ROWS($AZ$2:BZ2) + 3 * $AY$1,COLUMNS($AZ$2:BZ2)),INDEX(Donnees!$A$3:$BB$20,ROWS($AZ$2:BZ2)+ 3 * $AY$1,COLUMNS($AZ$2:BZ2)))</f>
        <v>34</v>
      </c>
      <c r="CB2" s="40">
        <f>IF($AY$2=1,INDEX(Donnees!$A$3:$BB$20,ROWS($AZ$2:CA2) + 3 * $AY$1,COLUMNS($AZ$2:CA2)),INDEX(Donnees!$A$3:$BB$20,ROWS($AZ$2:CA2)+ 3 * $AY$1,COLUMNS($AZ$2:CA2)))</f>
        <v>42</v>
      </c>
      <c r="CC2" s="40">
        <f>IF($AY$2=1,INDEX(Donnees!$A$3:$BB$20,ROWS($AZ$2:CB2) + 3 * $AY$1,COLUMNS($AZ$2:CB2)),INDEX(Donnees!$A$3:$BB$20,ROWS($AZ$2:CB2)+ 3 * $AY$1,COLUMNS($AZ$2:CB2)))</f>
        <v>81</v>
      </c>
      <c r="CD2" s="40">
        <f>IF($AY$2=1,INDEX(Donnees!$A$3:$BB$20,ROWS($AZ$2:CC2) + 3 * $AY$1,COLUMNS($AZ$2:CC2)),INDEX(Donnees!$A$3:$BB$20,ROWS($AZ$2:CC2)+ 3 * $AY$1,COLUMNS($AZ$2:CC2)))</f>
        <v>73</v>
      </c>
      <c r="CE2" s="40">
        <f>IF($AY$2=1,INDEX(Donnees!$A$3:$BB$20,ROWS($AZ$2:CD2) + 3 * $AY$1,COLUMNS($AZ$2:CD2)),INDEX(Donnees!$A$3:$BB$20,ROWS($AZ$2:CD2)+ 3 * $AY$1,COLUMNS($AZ$2:CD2)))</f>
        <v>16</v>
      </c>
      <c r="CF2" s="40">
        <f>IF($AY$2=1,INDEX(Donnees!$A$3:$BB$20,ROWS($AZ$2:CE2) + 3 * $AY$1,COLUMNS($AZ$2:CE2)),INDEX(Donnees!$A$3:$BB$20,ROWS($AZ$2:CE2)+ 3 * $AY$1,COLUMNS($AZ$2:CE2)))</f>
        <v>48</v>
      </c>
      <c r="CG2" s="40">
        <f>IF($AY$2=1,INDEX(Donnees!$A$3:$BB$20,ROWS($AZ$2:CF2) + 3 * $AY$1,COLUMNS($AZ$2:CF2)),INDEX(Donnees!$A$3:$BB$20,ROWS($AZ$2:CF2)+ 3 * $AY$1,COLUMNS($AZ$2:CF2)))</f>
        <v>31</v>
      </c>
      <c r="CH2" s="40">
        <f>IF($AY$2=1,INDEX(Donnees!$A$3:$BB$20,ROWS($AZ$2:CG2) + 3 * $AY$1,COLUMNS($AZ$2:CG2)),INDEX(Donnees!$A$3:$BB$20,ROWS($AZ$2:CG2)+ 3 * $AY$1,COLUMNS($AZ$2:CG2)))</f>
        <v>75</v>
      </c>
      <c r="CI2" s="40">
        <f>IF($AY$2=1,INDEX(Donnees!$A$3:$BB$20,ROWS($AZ$2:CH2) + 3 * $AY$1,COLUMNS($AZ$2:CH2)),INDEX(Donnees!$A$3:$BB$20,ROWS($AZ$2:CH2)+ 3 * $AY$1,COLUMNS($AZ$2:CH2)))</f>
        <v>38</v>
      </c>
      <c r="CJ2" s="40">
        <f>IF($AY$2=1,INDEX(Donnees!$A$3:$BB$20,ROWS($AZ$2:CI2) + 3 * $AY$1,COLUMNS($AZ$2:CI2)),INDEX(Donnees!$A$3:$BB$20,ROWS($AZ$2:CI2)+ 3 * $AY$1,COLUMNS($AZ$2:CI2)))</f>
        <v>31</v>
      </c>
      <c r="CK2" s="40">
        <f>IF($AY$2=1,INDEX(Donnees!$A$3:$BB$20,ROWS($AZ$2:CJ2) + 3 * $AY$1,COLUMNS($AZ$2:CJ2)),INDEX(Donnees!$A$3:$BB$20,ROWS($AZ$2:CJ2)+ 3 * $AY$1,COLUMNS($AZ$2:CJ2)))</f>
        <v>26</v>
      </c>
      <c r="CL2" s="40">
        <f>IF($AY$2=1,INDEX(Donnees!$A$3:$BB$20,ROWS($AZ$2:CK2) + 3 * $AY$1,COLUMNS($AZ$2:CK2)),INDEX(Donnees!$A$3:$BB$20,ROWS($AZ$2:CK2)+ 3 * $AY$1,COLUMNS($AZ$2:CK2)))</f>
        <v>90</v>
      </c>
      <c r="CM2" s="40">
        <f>IF($AY$2=1,INDEX(Donnees!$A$3:$BB$20,ROWS($AZ$2:CL2) + 3 * $AY$1,COLUMNS($AZ$2:CL2)),INDEX(Donnees!$A$3:$BB$20,ROWS($AZ$2:CL2)+ 3 * $AY$1,COLUMNS($AZ$2:CL2)))</f>
        <v>35</v>
      </c>
      <c r="CN2" s="40">
        <f>IF($AY$2=1,INDEX(Donnees!$A$3:$BB$20,ROWS($AZ$2:CM2) + 3 * $AY$1,COLUMNS($AZ$2:CM2)),INDEX(Donnees!$A$3:$BB$20,ROWS($AZ$2:CM2)+ 3 * $AY$1,COLUMNS($AZ$2:CM2)))</f>
        <v>39</v>
      </c>
      <c r="CO2" s="40">
        <f>IF($AY$2=1,INDEX(Donnees!$A$3:$BB$20,ROWS($AZ$2:CN2) + 3 * $AY$1,COLUMNS($AZ$2:CN2)),INDEX(Donnees!$A$3:$BB$20,ROWS($AZ$2:CN2)+ 3 * $AY$1,COLUMNS($AZ$2:CN2)))</f>
        <v>20</v>
      </c>
      <c r="CP2" s="40">
        <f>IF($AY$2=1,INDEX(Donnees!$A$3:$BB$20,ROWS($AZ$2:CO2) + 3 * $AY$1,COLUMNS($AZ$2:CO2)),INDEX(Donnees!$A$3:$BB$20,ROWS($AZ$2:CO2)+ 3 * $AY$1,COLUMNS($AZ$2:CO2)))</f>
        <v>92</v>
      </c>
      <c r="CQ2" s="40">
        <f>IF($AY$2=1,INDEX(Donnees!$A$3:$BB$20,ROWS($AZ$2:CP2) + 3 * $AY$1,COLUMNS($AZ$2:CP2)),INDEX(Donnees!$A$3:$BB$20,ROWS($AZ$2:CP2)+ 3 * $AY$1,COLUMNS($AZ$2:CP2)))</f>
        <v>99</v>
      </c>
      <c r="CR2" s="40">
        <f>IF($AY$2=1,INDEX(Donnees!$A$3:$BB$20,ROWS($AZ$2:CQ2) + 3 * $AY$1,COLUMNS($AZ$2:CQ2)),INDEX(Donnees!$A$3:$BB$20,ROWS($AZ$2:CQ2)+ 3 * $AY$1,COLUMNS($AZ$2:CQ2)))</f>
        <v>42</v>
      </c>
      <c r="CS2" s="40">
        <f>IF($AY$2=1,INDEX(Donnees!$A$3:$BB$20,ROWS($AZ$2:CR2) + 3 * $AY$1,COLUMNS($AZ$2:CR2)),INDEX(Donnees!$A$3:$BB$20,ROWS($AZ$2:CR2)+ 3 * $AY$1,COLUMNS($AZ$2:CR2)))</f>
        <v>100</v>
      </c>
      <c r="CT2" s="40">
        <f>IF($AY$2=1,INDEX(Donnees!$A$3:$BB$20,ROWS($AZ$2:CS2) + 3 * $AY$1,COLUMNS($AZ$2:CS2)),INDEX(Donnees!$A$3:$BB$20,ROWS($AZ$2:CS2)+ 3 * $AY$1,COLUMNS($AZ$2:CS2)))</f>
        <v>32</v>
      </c>
      <c r="CU2" s="40">
        <f>IF($AY$2=1,INDEX(Donnees!$A$3:$BB$20,ROWS($AZ$2:CT2) + 3 * $AY$1,COLUMNS($AZ$2:CT2)),INDEX(Donnees!$A$3:$BB$20,ROWS($AZ$2:CT2)+ 3 * $AY$1,COLUMNS($AZ$2:CT2)))</f>
        <v>45</v>
      </c>
      <c r="CV2" s="40">
        <f>IF($AY$2=1,INDEX(Donnees!$A$3:$BB$20,ROWS($AZ$2:CU2) + 3 * $AY$1,COLUMNS($AZ$2:CU2)),INDEX(Donnees!$A$3:$BB$20,ROWS($AZ$2:CU2)+ 3 * $AY$1,COLUMNS($AZ$2:CU2)))</f>
        <v>95</v>
      </c>
      <c r="CW2" s="40">
        <f>IF($AY$2=1,INDEX(Donnees!$A$3:$BB$20,ROWS($AZ$2:CV2) + 3 * $AY$1,COLUMNS($AZ$2:CV2)),INDEX(Donnees!$A$3:$BB$20,ROWS($AZ$2:CV2)+ 3 * $AY$1,COLUMNS($AZ$2:CV2)))</f>
        <v>56</v>
      </c>
      <c r="CX2" s="40">
        <f>IF($AY$2=1,INDEX(Donnees!$A$3:$BB$20,ROWS($AZ$2:CW2) + 3 * $AY$1,COLUMNS($AZ$2:CW2)),INDEX(Donnees!$A$3:$BB$20,ROWS($AZ$2:CW2)+ 3 * $AY$1,COLUMNS($AZ$2:CW2)))</f>
        <v>80</v>
      </c>
      <c r="CY2" s="40">
        <f>IF($AY$2=1,INDEX(Donnees!$A$3:$BB$20,ROWS($AZ$2:CX2) + 3 * $AY$1,COLUMNS($AZ$2:CX2)),INDEX(Donnees!$A$3:$BB$20,ROWS($AZ$2:CX2)+ 3 * $AY$1,COLUMNS($AZ$2:CX2)))</f>
        <v>95</v>
      </c>
      <c r="CZ2" s="40">
        <f>IF($AY$2=1,INDEX(Donnees!$A$3:$BB$20,ROWS($AZ$2:CY2) + 3 * $AY$1,COLUMNS($AZ$2:CY2)),INDEX(Donnees!$A$3:$BB$20,ROWS($AZ$2:CY2)+ 3 * $AY$1,COLUMNS($AZ$2:CY2)))</f>
        <v>52</v>
      </c>
      <c r="DA2" s="40">
        <f>IF($AY$2=1,INDEX(Donnees!$A$3:$BB$20,ROWS($AZ$2:CZ2) + 3 * $AY$1,COLUMNS($AZ$2:CZ2)),INDEX(Donnees!$A$3:$BB$20,ROWS($AZ$2:CZ2)+ 3 * $AY$1,COLUMNS($AZ$2:CZ2)))</f>
        <v>84</v>
      </c>
      <c r="DB2" s="40">
        <f>IF($AY$2=1,INDEX(Donnees!$A$3:$BB$20,ROWS($AZ$2:DA2) + 3 * $AY$1,COLUMNS($AZ$2:DA2)),INDEX(Donnees!$A$3:$BB$20,ROWS($AZ$2:DA2)+ 3 * $AY$1,COLUMNS($AZ$2:DA2)))</f>
        <v>56</v>
      </c>
    </row>
    <row r="3" spans="1:106" x14ac:dyDescent="0.2">
      <c r="AZ3" s="40">
        <v>2</v>
      </c>
      <c r="BA3" s="40" t="str">
        <f>IF($AY$2=1,INDEX(Donnees!$A$3:$BB$20,ROWS($AZ$2:AZ3) + 3 * $AY$1,COLUMNS($AZ$2:AZ3)),INDEX(Donnees!$A$3:$BB$20,ROWS($AZ$2:AZ3)+ 3 * $AY$1,COLUMNS($AZ$2:AZ3)))</f>
        <v>Capacite</v>
      </c>
      <c r="BB3" s="40">
        <f>IF($AY$2=1,INDEX(Donnees!$A$3:$BB$20,ROWS($AZ$2:BA3) + 3 * $AY$1,COLUMNS($AZ$2:BA3)),INDEX(Donnees!$A$3:$BB$20,ROWS($AZ$2:BA3)+ 3 * $AY$1,COLUMNS($AZ$2:BA3)))</f>
        <v>100</v>
      </c>
      <c r="BC3" s="40">
        <f>IF($AY$2=1,INDEX(Donnees!$A$3:$BB$20,ROWS($AZ$2:BB3) + 3 * $AY$1,COLUMNS($AZ$2:BB3)),INDEX(Donnees!$A$3:$BB$20,ROWS($AZ$2:BB3)+ 3 * $AY$1,COLUMNS($AZ$2:BB3)))</f>
        <v>100</v>
      </c>
      <c r="BD3" s="40">
        <f>IF($AY$2=1,INDEX(Donnees!$A$3:$BB$20,ROWS($AZ$2:BC3) + 3 * $AY$1,COLUMNS($AZ$2:BC3)),INDEX(Donnees!$A$3:$BB$20,ROWS($AZ$2:BC3)+ 3 * $AY$1,COLUMNS($AZ$2:BC3)))</f>
        <v>100</v>
      </c>
      <c r="BE3" s="40">
        <f>IF($AY$2=1,INDEX(Donnees!$A$3:$BB$20,ROWS($AZ$2:BD3) + 3 * $AY$1,COLUMNS($AZ$2:BD3)),INDEX(Donnees!$A$3:$BB$20,ROWS($AZ$2:BD3)+ 3 * $AY$1,COLUMNS($AZ$2:BD3)))</f>
        <v>100</v>
      </c>
      <c r="BF3" s="40">
        <f>IF($AY$2=1,INDEX(Donnees!$A$3:$BB$20,ROWS($AZ$2:BE3) + 3 * $AY$1,COLUMNS($AZ$2:BE3)),INDEX(Donnees!$A$3:$BB$20,ROWS($AZ$2:BE3)+ 3 * $AY$1,COLUMNS($AZ$2:BE3)))</f>
        <v>100</v>
      </c>
      <c r="BG3" s="40">
        <f>IF($AY$2=1,INDEX(Donnees!$A$3:$BB$20,ROWS($AZ$2:BF3) + 3 * $AY$1,COLUMNS($AZ$2:BF3)),INDEX(Donnees!$A$3:$BB$20,ROWS($AZ$2:BF3)+ 3 * $AY$1,COLUMNS($AZ$2:BF3)))</f>
        <v>100</v>
      </c>
      <c r="BH3" s="40">
        <f>IF($AY$2=1,INDEX(Donnees!$A$3:$BB$20,ROWS($AZ$2:BG3) + 3 * $AY$1,COLUMNS($AZ$2:BG3)),INDEX(Donnees!$A$3:$BB$20,ROWS($AZ$2:BG3)+ 3 * $AY$1,COLUMNS($AZ$2:BG3)))</f>
        <v>100</v>
      </c>
      <c r="BI3" s="40">
        <f>IF($AY$2=1,INDEX(Donnees!$A$3:$BB$20,ROWS($AZ$2:BH3) + 3 * $AY$1,COLUMNS($AZ$2:BH3)),INDEX(Donnees!$A$3:$BB$20,ROWS($AZ$2:BH3)+ 3 * $AY$1,COLUMNS($AZ$2:BH3)))</f>
        <v>100</v>
      </c>
      <c r="BJ3" s="40">
        <f>IF($AY$2=1,INDEX(Donnees!$A$3:$BB$20,ROWS($AZ$2:BI3) + 3 * $AY$1,COLUMNS($AZ$2:BI3)),INDEX(Donnees!$A$3:$BB$20,ROWS($AZ$2:BI3)+ 3 * $AY$1,COLUMNS($AZ$2:BI3)))</f>
        <v>100</v>
      </c>
      <c r="BK3" s="40">
        <f>IF($AY$2=1,INDEX(Donnees!$A$3:$BB$20,ROWS($AZ$2:BJ3) + 3 * $AY$1,COLUMNS($AZ$2:BJ3)),INDEX(Donnees!$A$3:$BB$20,ROWS($AZ$2:BJ3)+ 3 * $AY$1,COLUMNS($AZ$2:BJ3)))</f>
        <v>100</v>
      </c>
      <c r="BL3" s="40">
        <f>IF($AY$2=1,INDEX(Donnees!$A$3:$BB$20,ROWS($AZ$2:BK3) + 3 * $AY$1,COLUMNS($AZ$2:BK3)),INDEX(Donnees!$A$3:$BB$20,ROWS($AZ$2:BK3)+ 3 * $AY$1,COLUMNS($AZ$2:BK3)))</f>
        <v>100</v>
      </c>
      <c r="BM3" s="40">
        <f>IF($AY$2=1,INDEX(Donnees!$A$3:$BB$20,ROWS($AZ$2:BL3) + 3 * $AY$1,COLUMNS($AZ$2:BL3)),INDEX(Donnees!$A$3:$BB$20,ROWS($AZ$2:BL3)+ 3 * $AY$1,COLUMNS($AZ$2:BL3)))</f>
        <v>100</v>
      </c>
      <c r="BN3" s="40">
        <f>IF($AY$2=1,INDEX(Donnees!$A$3:$BB$20,ROWS($AZ$2:BM3) + 3 * $AY$1,COLUMNS($AZ$2:BM3)),INDEX(Donnees!$A$3:$BB$20,ROWS($AZ$2:BM3)+ 3 * $AY$1,COLUMNS($AZ$2:BM3)))</f>
        <v>100</v>
      </c>
      <c r="BO3" s="40">
        <f>IF($AY$2=1,INDEX(Donnees!$A$3:$BB$20,ROWS($AZ$2:BN3) + 3 * $AY$1,COLUMNS($AZ$2:BN3)),INDEX(Donnees!$A$3:$BB$20,ROWS($AZ$2:BN3)+ 3 * $AY$1,COLUMNS($AZ$2:BN3)))</f>
        <v>100</v>
      </c>
      <c r="BP3" s="40">
        <f>IF($AY$2=1,INDEX(Donnees!$A$3:$BB$20,ROWS($AZ$2:BO3) + 3 * $AY$1,COLUMNS($AZ$2:BO3)),INDEX(Donnees!$A$3:$BB$20,ROWS($AZ$2:BO3)+ 3 * $AY$1,COLUMNS($AZ$2:BO3)))</f>
        <v>100</v>
      </c>
      <c r="BQ3" s="40">
        <f>IF($AY$2=1,INDEX(Donnees!$A$3:$BB$20,ROWS($AZ$2:BP3) + 3 * $AY$1,COLUMNS($AZ$2:BP3)),INDEX(Donnees!$A$3:$BB$20,ROWS($AZ$2:BP3)+ 3 * $AY$1,COLUMNS($AZ$2:BP3)))</f>
        <v>100</v>
      </c>
      <c r="BR3" s="40">
        <f>IF($AY$2=1,INDEX(Donnees!$A$3:$BB$20,ROWS($AZ$2:BQ3) + 3 * $AY$1,COLUMNS($AZ$2:BQ3)),INDEX(Donnees!$A$3:$BB$20,ROWS($AZ$2:BQ3)+ 3 * $AY$1,COLUMNS($AZ$2:BQ3)))</f>
        <v>100</v>
      </c>
      <c r="BS3" s="40">
        <f>IF($AY$2=1,INDEX(Donnees!$A$3:$BB$20,ROWS($AZ$2:BR3) + 3 * $AY$1,COLUMNS($AZ$2:BR3)),INDEX(Donnees!$A$3:$BB$20,ROWS($AZ$2:BR3)+ 3 * $AY$1,COLUMNS($AZ$2:BR3)))</f>
        <v>100</v>
      </c>
      <c r="BT3" s="40">
        <f>IF($AY$2=1,INDEX(Donnees!$A$3:$BB$20,ROWS($AZ$2:BS3) + 3 * $AY$1,COLUMNS($AZ$2:BS3)),INDEX(Donnees!$A$3:$BB$20,ROWS($AZ$2:BS3)+ 3 * $AY$1,COLUMNS($AZ$2:BS3)))</f>
        <v>100</v>
      </c>
      <c r="BU3" s="40">
        <f>IF($AY$2=1,INDEX(Donnees!$A$3:$BB$20,ROWS($AZ$2:BT3) + 3 * $AY$1,COLUMNS($AZ$2:BT3)),INDEX(Donnees!$A$3:$BB$20,ROWS($AZ$2:BT3)+ 3 * $AY$1,COLUMNS($AZ$2:BT3)))</f>
        <v>100</v>
      </c>
      <c r="BV3" s="40">
        <f>IF($AY$2=1,INDEX(Donnees!$A$3:$BB$20,ROWS($AZ$2:BU3) + 3 * $AY$1,COLUMNS($AZ$2:BU3)),INDEX(Donnees!$A$3:$BB$20,ROWS($AZ$2:BU3)+ 3 * $AY$1,COLUMNS($AZ$2:BU3)))</f>
        <v>100</v>
      </c>
      <c r="BW3" s="40">
        <f>IF($AY$2=1,INDEX(Donnees!$A$3:$BB$20,ROWS($AZ$2:BV3) + 3 * $AY$1,COLUMNS($AZ$2:BV3)),INDEX(Donnees!$A$3:$BB$20,ROWS($AZ$2:BV3)+ 3 * $AY$1,COLUMNS($AZ$2:BV3)))</f>
        <v>100</v>
      </c>
      <c r="BX3" s="40">
        <f>IF($AY$2=1,INDEX(Donnees!$A$3:$BB$20,ROWS($AZ$2:BW3) + 3 * $AY$1,COLUMNS($AZ$2:BW3)),INDEX(Donnees!$A$3:$BB$20,ROWS($AZ$2:BW3)+ 3 * $AY$1,COLUMNS($AZ$2:BW3)))</f>
        <v>100</v>
      </c>
      <c r="BY3" s="40">
        <f>IF($AY$2=1,INDEX(Donnees!$A$3:$BB$20,ROWS($AZ$2:BX3) + 3 * $AY$1,COLUMNS($AZ$2:BX3)),INDEX(Donnees!$A$3:$BB$20,ROWS($AZ$2:BX3)+ 3 * $AY$1,COLUMNS($AZ$2:BX3)))</f>
        <v>100</v>
      </c>
      <c r="BZ3" s="40">
        <f>IF($AY$2=1,INDEX(Donnees!$A$3:$BB$20,ROWS($AZ$2:BY3) + 3 * $AY$1,COLUMNS($AZ$2:BY3)),INDEX(Donnees!$A$3:$BB$20,ROWS($AZ$2:BY3)+ 3 * $AY$1,COLUMNS($AZ$2:BY3)))</f>
        <v>100</v>
      </c>
      <c r="CA3" s="40">
        <f>IF($AY$2=1,INDEX(Donnees!$A$3:$BB$20,ROWS($AZ$2:BZ3) + 3 * $AY$1,COLUMNS($AZ$2:BZ3)),INDEX(Donnees!$A$3:$BB$20,ROWS($AZ$2:BZ3)+ 3 * $AY$1,COLUMNS($AZ$2:BZ3)))</f>
        <v>100</v>
      </c>
      <c r="CB3" s="40">
        <f>IF($AY$2=1,INDEX(Donnees!$A$3:$BB$20,ROWS($AZ$2:CA3) + 3 * $AY$1,COLUMNS($AZ$2:CA3)),INDEX(Donnees!$A$3:$BB$20,ROWS($AZ$2:CA3)+ 3 * $AY$1,COLUMNS($AZ$2:CA3)))</f>
        <v>100</v>
      </c>
      <c r="CC3" s="40">
        <f>IF($AY$2=1,INDEX(Donnees!$A$3:$BB$20,ROWS($AZ$2:CB3) + 3 * $AY$1,COLUMNS($AZ$2:CB3)),INDEX(Donnees!$A$3:$BB$20,ROWS($AZ$2:CB3)+ 3 * $AY$1,COLUMNS($AZ$2:CB3)))</f>
        <v>100</v>
      </c>
      <c r="CD3" s="40">
        <f>IF($AY$2=1,INDEX(Donnees!$A$3:$BB$20,ROWS($AZ$2:CC3) + 3 * $AY$1,COLUMNS($AZ$2:CC3)),INDEX(Donnees!$A$3:$BB$20,ROWS($AZ$2:CC3)+ 3 * $AY$1,COLUMNS($AZ$2:CC3)))</f>
        <v>100</v>
      </c>
      <c r="CE3" s="40">
        <f>IF($AY$2=1,INDEX(Donnees!$A$3:$BB$20,ROWS($AZ$2:CD3) + 3 * $AY$1,COLUMNS($AZ$2:CD3)),INDEX(Donnees!$A$3:$BB$20,ROWS($AZ$2:CD3)+ 3 * $AY$1,COLUMNS($AZ$2:CD3)))</f>
        <v>100</v>
      </c>
      <c r="CF3" s="40">
        <f>IF($AY$2=1,INDEX(Donnees!$A$3:$BB$20,ROWS($AZ$2:CE3) + 3 * $AY$1,COLUMNS($AZ$2:CE3)),INDEX(Donnees!$A$3:$BB$20,ROWS($AZ$2:CE3)+ 3 * $AY$1,COLUMNS($AZ$2:CE3)))</f>
        <v>100</v>
      </c>
      <c r="CG3" s="40">
        <f>IF($AY$2=1,INDEX(Donnees!$A$3:$BB$20,ROWS($AZ$2:CF3) + 3 * $AY$1,COLUMNS($AZ$2:CF3)),INDEX(Donnees!$A$3:$BB$20,ROWS($AZ$2:CF3)+ 3 * $AY$1,COLUMNS($AZ$2:CF3)))</f>
        <v>100</v>
      </c>
      <c r="CH3" s="40">
        <f>IF($AY$2=1,INDEX(Donnees!$A$3:$BB$20,ROWS($AZ$2:CG3) + 3 * $AY$1,COLUMNS($AZ$2:CG3)),INDEX(Donnees!$A$3:$BB$20,ROWS($AZ$2:CG3)+ 3 * $AY$1,COLUMNS($AZ$2:CG3)))</f>
        <v>100</v>
      </c>
      <c r="CI3" s="40">
        <f>IF($AY$2=1,INDEX(Donnees!$A$3:$BB$20,ROWS($AZ$2:CH3) + 3 * $AY$1,COLUMNS($AZ$2:CH3)),INDEX(Donnees!$A$3:$BB$20,ROWS($AZ$2:CH3)+ 3 * $AY$1,COLUMNS($AZ$2:CH3)))</f>
        <v>100</v>
      </c>
      <c r="CJ3" s="40">
        <f>IF($AY$2=1,INDEX(Donnees!$A$3:$BB$20,ROWS($AZ$2:CI3) + 3 * $AY$1,COLUMNS($AZ$2:CI3)),INDEX(Donnees!$A$3:$BB$20,ROWS($AZ$2:CI3)+ 3 * $AY$1,COLUMNS($AZ$2:CI3)))</f>
        <v>100</v>
      </c>
      <c r="CK3" s="40">
        <f>IF($AY$2=1,INDEX(Donnees!$A$3:$BB$20,ROWS($AZ$2:CJ3) + 3 * $AY$1,COLUMNS($AZ$2:CJ3)),INDEX(Donnees!$A$3:$BB$20,ROWS($AZ$2:CJ3)+ 3 * $AY$1,COLUMNS($AZ$2:CJ3)))</f>
        <v>100</v>
      </c>
      <c r="CL3" s="40">
        <f>IF($AY$2=1,INDEX(Donnees!$A$3:$BB$20,ROWS($AZ$2:CK3) + 3 * $AY$1,COLUMNS($AZ$2:CK3)),INDEX(Donnees!$A$3:$BB$20,ROWS($AZ$2:CK3)+ 3 * $AY$1,COLUMNS($AZ$2:CK3)))</f>
        <v>100</v>
      </c>
      <c r="CM3" s="40">
        <f>IF($AY$2=1,INDEX(Donnees!$A$3:$BB$20,ROWS($AZ$2:CL3) + 3 * $AY$1,COLUMNS($AZ$2:CL3)),INDEX(Donnees!$A$3:$BB$20,ROWS($AZ$2:CL3)+ 3 * $AY$1,COLUMNS($AZ$2:CL3)))</f>
        <v>100</v>
      </c>
      <c r="CN3" s="40">
        <f>IF($AY$2=1,INDEX(Donnees!$A$3:$BB$20,ROWS($AZ$2:CM3) + 3 * $AY$1,COLUMNS($AZ$2:CM3)),INDEX(Donnees!$A$3:$BB$20,ROWS($AZ$2:CM3)+ 3 * $AY$1,COLUMNS($AZ$2:CM3)))</f>
        <v>100</v>
      </c>
      <c r="CO3" s="40">
        <f>IF($AY$2=1,INDEX(Donnees!$A$3:$BB$20,ROWS($AZ$2:CN3) + 3 * $AY$1,COLUMNS($AZ$2:CN3)),INDEX(Donnees!$A$3:$BB$20,ROWS($AZ$2:CN3)+ 3 * $AY$1,COLUMNS($AZ$2:CN3)))</f>
        <v>100</v>
      </c>
      <c r="CP3" s="40">
        <f>IF($AY$2=1,INDEX(Donnees!$A$3:$BB$20,ROWS($AZ$2:CO3) + 3 * $AY$1,COLUMNS($AZ$2:CO3)),INDEX(Donnees!$A$3:$BB$20,ROWS($AZ$2:CO3)+ 3 * $AY$1,COLUMNS($AZ$2:CO3)))</f>
        <v>100</v>
      </c>
      <c r="CQ3" s="40">
        <f>IF($AY$2=1,INDEX(Donnees!$A$3:$BB$20,ROWS($AZ$2:CP3) + 3 * $AY$1,COLUMNS($AZ$2:CP3)),INDEX(Donnees!$A$3:$BB$20,ROWS($AZ$2:CP3)+ 3 * $AY$1,COLUMNS($AZ$2:CP3)))</f>
        <v>100</v>
      </c>
      <c r="CR3" s="40">
        <f>IF($AY$2=1,INDEX(Donnees!$A$3:$BB$20,ROWS($AZ$2:CQ3) + 3 * $AY$1,COLUMNS($AZ$2:CQ3)),INDEX(Donnees!$A$3:$BB$20,ROWS($AZ$2:CQ3)+ 3 * $AY$1,COLUMNS($AZ$2:CQ3)))</f>
        <v>100</v>
      </c>
      <c r="CS3" s="40">
        <f>IF($AY$2=1,INDEX(Donnees!$A$3:$BB$20,ROWS($AZ$2:CR3) + 3 * $AY$1,COLUMNS($AZ$2:CR3)),INDEX(Donnees!$A$3:$BB$20,ROWS($AZ$2:CR3)+ 3 * $AY$1,COLUMNS($AZ$2:CR3)))</f>
        <v>100</v>
      </c>
      <c r="CT3" s="40">
        <f>IF($AY$2=1,INDEX(Donnees!$A$3:$BB$20,ROWS($AZ$2:CS3) + 3 * $AY$1,COLUMNS($AZ$2:CS3)),INDEX(Donnees!$A$3:$BB$20,ROWS($AZ$2:CS3)+ 3 * $AY$1,COLUMNS($AZ$2:CS3)))</f>
        <v>100</v>
      </c>
      <c r="CU3" s="40">
        <f>IF($AY$2=1,INDEX(Donnees!$A$3:$BB$20,ROWS($AZ$2:CT3) + 3 * $AY$1,COLUMNS($AZ$2:CT3)),INDEX(Donnees!$A$3:$BB$20,ROWS($AZ$2:CT3)+ 3 * $AY$1,COLUMNS($AZ$2:CT3)))</f>
        <v>100</v>
      </c>
      <c r="CV3" s="40">
        <f>IF($AY$2=1,INDEX(Donnees!$A$3:$BB$20,ROWS($AZ$2:CU3) + 3 * $AY$1,COLUMNS($AZ$2:CU3)),INDEX(Donnees!$A$3:$BB$20,ROWS($AZ$2:CU3)+ 3 * $AY$1,COLUMNS($AZ$2:CU3)))</f>
        <v>100</v>
      </c>
      <c r="CW3" s="40">
        <f>IF($AY$2=1,INDEX(Donnees!$A$3:$BB$20,ROWS($AZ$2:CV3) + 3 * $AY$1,COLUMNS($AZ$2:CV3)),INDEX(Donnees!$A$3:$BB$20,ROWS($AZ$2:CV3)+ 3 * $AY$1,COLUMNS($AZ$2:CV3)))</f>
        <v>100</v>
      </c>
      <c r="CX3" s="40">
        <f>IF($AY$2=1,INDEX(Donnees!$A$3:$BB$20,ROWS($AZ$2:CW3) + 3 * $AY$1,COLUMNS($AZ$2:CW3)),INDEX(Donnees!$A$3:$BB$20,ROWS($AZ$2:CW3)+ 3 * $AY$1,COLUMNS($AZ$2:CW3)))</f>
        <v>100</v>
      </c>
      <c r="CY3" s="40">
        <f>IF($AY$2=1,INDEX(Donnees!$A$3:$BB$20,ROWS($AZ$2:CX3) + 3 * $AY$1,COLUMNS($AZ$2:CX3)),INDEX(Donnees!$A$3:$BB$20,ROWS($AZ$2:CX3)+ 3 * $AY$1,COLUMNS($AZ$2:CX3)))</f>
        <v>100</v>
      </c>
      <c r="CZ3" s="40">
        <f>IF($AY$2=1,INDEX(Donnees!$A$3:$BB$20,ROWS($AZ$2:CY3) + 3 * $AY$1,COLUMNS($AZ$2:CY3)),INDEX(Donnees!$A$3:$BB$20,ROWS($AZ$2:CY3)+ 3 * $AY$1,COLUMNS($AZ$2:CY3)))</f>
        <v>100</v>
      </c>
      <c r="DA3" s="40">
        <f>IF($AY$2=1,INDEX(Donnees!$A$3:$BB$20,ROWS($AZ$2:CZ3) + 3 * $AY$1,COLUMNS($AZ$2:CZ3)),INDEX(Donnees!$A$3:$BB$20,ROWS($AZ$2:CZ3)+ 3 * $AY$1,COLUMNS($AZ$2:CZ3)))</f>
        <v>100</v>
      </c>
      <c r="DB3" s="40">
        <f>IF($AY$2=1,INDEX(Donnees!$A$3:$BB$20,ROWS($AZ$2:DA3) + 3 * $AY$1,COLUMNS($AZ$2:DA3)),INDEX(Donnees!$A$3:$BB$20,ROWS($AZ$2:DA3)+ 3 * $AY$1,COLUMNS($AZ$2:DA3)))</f>
        <v>100</v>
      </c>
    </row>
    <row r="4" spans="1:106" ht="17" thickBot="1" x14ac:dyDescent="0.25">
      <c r="AZ4" s="40">
        <v>3</v>
      </c>
      <c r="BA4" s="40" t="str">
        <f>IF($AY$2=1,INDEX(Donnees!$A$3:$BB$20,ROWS($AZ$2:AZ4) + 3 * $AY$1,COLUMNS($AZ$2:AZ4)),INDEX(Donnees!$A$3:$BB$20,ROWS($AZ$2:AZ4)+ 3 * $AY$1,COLUMNS($AZ$2:AZ4)))</f>
        <v>Historique</v>
      </c>
      <c r="BB4" s="40">
        <f>IF($AY$2=1,INDEX(Donnees!$A$3:$BB$20,ROWS($AZ$2:BA4) + 3 * $AY$1,COLUMNS($AZ$2:BA4)),INDEX(Donnees!$A$3:$BB$20,ROWS($AZ$2:BA4)+ 3 * $AY$1,COLUMNS($AZ$2:BA4)))</f>
        <v>54</v>
      </c>
      <c r="BC4" s="40">
        <f>IF($AY$2=1,INDEX(Donnees!$A$3:$BB$20,ROWS($AZ$2:BB4) + 3 * $AY$1,COLUMNS($AZ$2:BB4)),INDEX(Donnees!$A$3:$BB$20,ROWS($AZ$2:BB4)+ 3 * $AY$1,COLUMNS($AZ$2:BB4)))</f>
        <v>60</v>
      </c>
      <c r="BD4" s="40">
        <f>IF($AY$2=1,INDEX(Donnees!$A$3:$BB$20,ROWS($AZ$2:BC4) + 3 * $AY$1,COLUMNS($AZ$2:BC4)),INDEX(Donnees!$A$3:$BB$20,ROWS($AZ$2:BC4)+ 3 * $AY$1,COLUMNS($AZ$2:BC4)))</f>
        <v>12</v>
      </c>
      <c r="BE4" s="40">
        <f>IF($AY$2=1,INDEX(Donnees!$A$3:$BB$20,ROWS($AZ$2:BD4) + 3 * $AY$1,COLUMNS($AZ$2:BD4)),INDEX(Donnees!$A$3:$BB$20,ROWS($AZ$2:BD4)+ 3 * $AY$1,COLUMNS($AZ$2:BD4)))</f>
        <v>87</v>
      </c>
      <c r="BF4" s="40">
        <f>IF($AY$2=1,INDEX(Donnees!$A$3:$BB$20,ROWS($AZ$2:BE4) + 3 * $AY$1,COLUMNS($AZ$2:BE4)),INDEX(Donnees!$A$3:$BB$20,ROWS($AZ$2:BE4)+ 3 * $AY$1,COLUMNS($AZ$2:BE4)))</f>
        <v>34</v>
      </c>
      <c r="BG4" s="40">
        <f>IF($AY$2=1,INDEX(Donnees!$A$3:$BB$20,ROWS($AZ$2:BF4) + 3 * $AY$1,COLUMNS($AZ$2:BF4)),INDEX(Donnees!$A$3:$BB$20,ROWS($AZ$2:BF4)+ 3 * $AY$1,COLUMNS($AZ$2:BF4)))</f>
        <v>68</v>
      </c>
      <c r="BH4" s="40">
        <f>IF($AY$2=1,INDEX(Donnees!$A$3:$BB$20,ROWS($AZ$2:BG4) + 3 * $AY$1,COLUMNS($AZ$2:BG4)),INDEX(Donnees!$A$3:$BB$20,ROWS($AZ$2:BG4)+ 3 * $AY$1,COLUMNS($AZ$2:BG4)))</f>
        <v>69</v>
      </c>
      <c r="BI4" s="40">
        <f>IF($AY$2=1,INDEX(Donnees!$A$3:$BB$20,ROWS($AZ$2:BH4) + 3 * $AY$1,COLUMNS($AZ$2:BH4)),INDEX(Donnees!$A$3:$BB$20,ROWS($AZ$2:BH4)+ 3 * $AY$1,COLUMNS($AZ$2:BH4)))</f>
        <v>59</v>
      </c>
      <c r="BJ4" s="40">
        <f>IF($AY$2=1,INDEX(Donnees!$A$3:$BB$20,ROWS($AZ$2:BI4) + 3 * $AY$1,COLUMNS($AZ$2:BI4)),INDEX(Donnees!$A$3:$BB$20,ROWS($AZ$2:BI4)+ 3 * $AY$1,COLUMNS($AZ$2:BI4)))</f>
        <v>79</v>
      </c>
      <c r="BK4" s="40">
        <f>IF($AY$2=1,INDEX(Donnees!$A$3:$BB$20,ROWS($AZ$2:BJ4) + 3 * $AY$1,COLUMNS($AZ$2:BJ4)),INDEX(Donnees!$A$3:$BB$20,ROWS($AZ$2:BJ4)+ 3 * $AY$1,COLUMNS($AZ$2:BJ4)))</f>
        <v>58</v>
      </c>
      <c r="BL4" s="40">
        <f>IF($AY$2=1,INDEX(Donnees!$A$3:$BB$20,ROWS($AZ$2:BK4) + 3 * $AY$1,COLUMNS($AZ$2:BK4)),INDEX(Donnees!$A$3:$BB$20,ROWS($AZ$2:BK4)+ 3 * $AY$1,COLUMNS($AZ$2:BK4)))</f>
        <v>8</v>
      </c>
      <c r="BM4" s="40">
        <f>IF($AY$2=1,INDEX(Donnees!$A$3:$BB$20,ROWS($AZ$2:BL4) + 3 * $AY$1,COLUMNS($AZ$2:BL4)),INDEX(Donnees!$A$3:$BB$20,ROWS($AZ$2:BL4)+ 3 * $AY$1,COLUMNS($AZ$2:BL4)))</f>
        <v>19</v>
      </c>
      <c r="BN4" s="40">
        <f>IF($AY$2=1,INDEX(Donnees!$A$3:$BB$20,ROWS($AZ$2:BM4) + 3 * $AY$1,COLUMNS($AZ$2:BM4)),INDEX(Donnees!$A$3:$BB$20,ROWS($AZ$2:BM4)+ 3 * $AY$1,COLUMNS($AZ$2:BM4)))</f>
        <v>23</v>
      </c>
      <c r="BO4" s="40">
        <f>IF($AY$2=1,INDEX(Donnees!$A$3:$BB$20,ROWS($AZ$2:BN4) + 3 * $AY$1,COLUMNS($AZ$2:BN4)),INDEX(Donnees!$A$3:$BB$20,ROWS($AZ$2:BN4)+ 3 * $AY$1,COLUMNS($AZ$2:BN4)))</f>
        <v>4</v>
      </c>
      <c r="BP4" s="40">
        <f>IF($AY$2=1,INDEX(Donnees!$A$3:$BB$20,ROWS($AZ$2:BO4) + 3 * $AY$1,COLUMNS($AZ$2:BO4)),INDEX(Donnees!$A$3:$BB$20,ROWS($AZ$2:BO4)+ 3 * $AY$1,COLUMNS($AZ$2:BO4)))</f>
        <v>88</v>
      </c>
      <c r="BQ4" s="40">
        <f>IF($AY$2=1,INDEX(Donnees!$A$3:$BB$20,ROWS($AZ$2:BP4) + 3 * $AY$1,COLUMNS($AZ$2:BP4)),INDEX(Donnees!$A$3:$BB$20,ROWS($AZ$2:BP4)+ 3 * $AY$1,COLUMNS($AZ$2:BP4)))</f>
        <v>65</v>
      </c>
      <c r="BR4" s="40">
        <f>IF($AY$2=1,INDEX(Donnees!$A$3:$BB$20,ROWS($AZ$2:BQ4) + 3 * $AY$1,COLUMNS($AZ$2:BQ4)),INDEX(Donnees!$A$3:$BB$20,ROWS($AZ$2:BQ4)+ 3 * $AY$1,COLUMNS($AZ$2:BQ4)))</f>
        <v>61</v>
      </c>
      <c r="BS4" s="40">
        <f>IF($AY$2=1,INDEX(Donnees!$A$3:$BB$20,ROWS($AZ$2:BR4) + 3 * $AY$1,COLUMNS($AZ$2:BR4)),INDEX(Donnees!$A$3:$BB$20,ROWS($AZ$2:BR4)+ 3 * $AY$1,COLUMNS($AZ$2:BR4)))</f>
        <v>30</v>
      </c>
      <c r="BT4" s="40">
        <f>IF($AY$2=1,INDEX(Donnees!$A$3:$BB$20,ROWS($AZ$2:BS4) + 3 * $AY$1,COLUMNS($AZ$2:BS4)),INDEX(Donnees!$A$3:$BB$20,ROWS($AZ$2:BS4)+ 3 * $AY$1,COLUMNS($AZ$2:BS4)))</f>
        <v>3</v>
      </c>
      <c r="BU4" s="40">
        <f>IF($AY$2=1,INDEX(Donnees!$A$3:$BB$20,ROWS($AZ$2:BT4) + 3 * $AY$1,COLUMNS($AZ$2:BT4)),INDEX(Donnees!$A$3:$BB$20,ROWS($AZ$2:BT4)+ 3 * $AY$1,COLUMNS($AZ$2:BT4)))</f>
        <v>7</v>
      </c>
      <c r="BV4" s="40">
        <f>IF($AY$2=1,INDEX(Donnees!$A$3:$BB$20,ROWS($AZ$2:BU4) + 3 * $AY$1,COLUMNS($AZ$2:BU4)),INDEX(Donnees!$A$3:$BB$20,ROWS($AZ$2:BU4)+ 3 * $AY$1,COLUMNS($AZ$2:BU4)))</f>
        <v>5</v>
      </c>
      <c r="BW4" s="40">
        <f>IF($AY$2=1,INDEX(Donnees!$A$3:$BB$20,ROWS($AZ$2:BV4) + 3 * $AY$1,COLUMNS($AZ$2:BV4)),INDEX(Donnees!$A$3:$BB$20,ROWS($AZ$2:BV4)+ 3 * $AY$1,COLUMNS($AZ$2:BV4)))</f>
        <v>20</v>
      </c>
      <c r="BX4" s="40">
        <f>IF($AY$2=1,INDEX(Donnees!$A$3:$BB$20,ROWS($AZ$2:BW4) + 3 * $AY$1,COLUMNS($AZ$2:BW4)),INDEX(Donnees!$A$3:$BB$20,ROWS($AZ$2:BW4)+ 3 * $AY$1,COLUMNS($AZ$2:BW4)))</f>
        <v>62</v>
      </c>
      <c r="BY4" s="40">
        <f>IF($AY$2=1,INDEX(Donnees!$A$3:$BB$20,ROWS($AZ$2:BX4) + 3 * $AY$1,COLUMNS($AZ$2:BX4)),INDEX(Donnees!$A$3:$BB$20,ROWS($AZ$2:BX4)+ 3 * $AY$1,COLUMNS($AZ$2:BX4)))</f>
        <v>90</v>
      </c>
      <c r="BZ4" s="40">
        <f>IF($AY$2=1,INDEX(Donnees!$A$3:$BB$20,ROWS($AZ$2:BY4) + 3 * $AY$1,COLUMNS($AZ$2:BY4)),INDEX(Donnees!$A$3:$BB$20,ROWS($AZ$2:BY4)+ 3 * $AY$1,COLUMNS($AZ$2:BY4)))</f>
        <v>0</v>
      </c>
      <c r="CA4" s="40">
        <f>IF($AY$2=1,INDEX(Donnees!$A$3:$BB$20,ROWS($AZ$2:BZ4) + 3 * $AY$1,COLUMNS($AZ$2:BZ4)),INDEX(Donnees!$A$3:$BB$20,ROWS($AZ$2:BZ4)+ 3 * $AY$1,COLUMNS($AZ$2:BZ4)))</f>
        <v>0</v>
      </c>
      <c r="CB4" s="40">
        <f>IF($AY$2=1,INDEX(Donnees!$A$3:$BB$20,ROWS($AZ$2:CA4) + 3 * $AY$1,COLUMNS($AZ$2:CA4)),INDEX(Donnees!$A$3:$BB$20,ROWS($AZ$2:CA4)+ 3 * $AY$1,COLUMNS($AZ$2:CA4)))</f>
        <v>0</v>
      </c>
      <c r="CC4" s="40">
        <f>IF($AY$2=1,INDEX(Donnees!$A$3:$BB$20,ROWS($AZ$2:CB4) + 3 * $AY$1,COLUMNS($AZ$2:CB4)),INDEX(Donnees!$A$3:$BB$20,ROWS($AZ$2:CB4)+ 3 * $AY$1,COLUMNS($AZ$2:CB4)))</f>
        <v>0</v>
      </c>
      <c r="CD4" s="40">
        <f>IF($AY$2=1,INDEX(Donnees!$A$3:$BB$20,ROWS($AZ$2:CC4) + 3 * $AY$1,COLUMNS($AZ$2:CC4)),INDEX(Donnees!$A$3:$BB$20,ROWS($AZ$2:CC4)+ 3 * $AY$1,COLUMNS($AZ$2:CC4)))</f>
        <v>0</v>
      </c>
      <c r="CE4" s="40">
        <f>IF($AY$2=1,INDEX(Donnees!$A$3:$BB$20,ROWS($AZ$2:CD4) + 3 * $AY$1,COLUMNS($AZ$2:CD4)),INDEX(Donnees!$A$3:$BB$20,ROWS($AZ$2:CD4)+ 3 * $AY$1,COLUMNS($AZ$2:CD4)))</f>
        <v>0</v>
      </c>
      <c r="CF4" s="40">
        <f>IF($AY$2=1,INDEX(Donnees!$A$3:$BB$20,ROWS($AZ$2:CE4) + 3 * $AY$1,COLUMNS($AZ$2:CE4)),INDEX(Donnees!$A$3:$BB$20,ROWS($AZ$2:CE4)+ 3 * $AY$1,COLUMNS($AZ$2:CE4)))</f>
        <v>0</v>
      </c>
      <c r="CG4" s="40">
        <f>IF($AY$2=1,INDEX(Donnees!$A$3:$BB$20,ROWS($AZ$2:CF4) + 3 * $AY$1,COLUMNS($AZ$2:CF4)),INDEX(Donnees!$A$3:$BB$20,ROWS($AZ$2:CF4)+ 3 * $AY$1,COLUMNS($AZ$2:CF4)))</f>
        <v>0</v>
      </c>
      <c r="CH4" s="40">
        <f>IF($AY$2=1,INDEX(Donnees!$A$3:$BB$20,ROWS($AZ$2:CG4) + 3 * $AY$1,COLUMNS($AZ$2:CG4)),INDEX(Donnees!$A$3:$BB$20,ROWS($AZ$2:CG4)+ 3 * $AY$1,COLUMNS($AZ$2:CG4)))</f>
        <v>0</v>
      </c>
      <c r="CI4" s="40">
        <f>IF($AY$2=1,INDEX(Donnees!$A$3:$BB$20,ROWS($AZ$2:CH4) + 3 * $AY$1,COLUMNS($AZ$2:CH4)),INDEX(Donnees!$A$3:$BB$20,ROWS($AZ$2:CH4)+ 3 * $AY$1,COLUMNS($AZ$2:CH4)))</f>
        <v>0</v>
      </c>
      <c r="CJ4" s="40">
        <f>IF($AY$2=1,INDEX(Donnees!$A$3:$BB$20,ROWS($AZ$2:CI4) + 3 * $AY$1,COLUMNS($AZ$2:CI4)),INDEX(Donnees!$A$3:$BB$20,ROWS($AZ$2:CI4)+ 3 * $AY$1,COLUMNS($AZ$2:CI4)))</f>
        <v>0</v>
      </c>
      <c r="CK4" s="40">
        <f>IF($AY$2=1,INDEX(Donnees!$A$3:$BB$20,ROWS($AZ$2:CJ4) + 3 * $AY$1,COLUMNS($AZ$2:CJ4)),INDEX(Donnees!$A$3:$BB$20,ROWS($AZ$2:CJ4)+ 3 * $AY$1,COLUMNS($AZ$2:CJ4)))</f>
        <v>0</v>
      </c>
      <c r="CL4" s="40">
        <f>IF($AY$2=1,INDEX(Donnees!$A$3:$BB$20,ROWS($AZ$2:CK4) + 3 * $AY$1,COLUMNS($AZ$2:CK4)),INDEX(Donnees!$A$3:$BB$20,ROWS($AZ$2:CK4)+ 3 * $AY$1,COLUMNS($AZ$2:CK4)))</f>
        <v>0</v>
      </c>
      <c r="CM4" s="40">
        <f>IF($AY$2=1,INDEX(Donnees!$A$3:$BB$20,ROWS($AZ$2:CL4) + 3 * $AY$1,COLUMNS($AZ$2:CL4)),INDEX(Donnees!$A$3:$BB$20,ROWS($AZ$2:CL4)+ 3 * $AY$1,COLUMNS($AZ$2:CL4)))</f>
        <v>0</v>
      </c>
      <c r="CN4" s="40">
        <f>IF($AY$2=1,INDEX(Donnees!$A$3:$BB$20,ROWS($AZ$2:CM4) + 3 * $AY$1,COLUMNS($AZ$2:CM4)),INDEX(Donnees!$A$3:$BB$20,ROWS($AZ$2:CM4)+ 3 * $AY$1,COLUMNS($AZ$2:CM4)))</f>
        <v>0</v>
      </c>
      <c r="CO4" s="40">
        <f>IF($AY$2=1,INDEX(Donnees!$A$3:$BB$20,ROWS($AZ$2:CN4) + 3 * $AY$1,COLUMNS($AZ$2:CN4)),INDEX(Donnees!$A$3:$BB$20,ROWS($AZ$2:CN4)+ 3 * $AY$1,COLUMNS($AZ$2:CN4)))</f>
        <v>0</v>
      </c>
      <c r="CP4" s="40">
        <f>IF($AY$2=1,INDEX(Donnees!$A$3:$BB$20,ROWS($AZ$2:CO4) + 3 * $AY$1,COLUMNS($AZ$2:CO4)),INDEX(Donnees!$A$3:$BB$20,ROWS($AZ$2:CO4)+ 3 * $AY$1,COLUMNS($AZ$2:CO4)))</f>
        <v>0</v>
      </c>
      <c r="CQ4" s="40">
        <f>IF($AY$2=1,INDEX(Donnees!$A$3:$BB$20,ROWS($AZ$2:CP4) + 3 * $AY$1,COLUMNS($AZ$2:CP4)),INDEX(Donnees!$A$3:$BB$20,ROWS($AZ$2:CP4)+ 3 * $AY$1,COLUMNS($AZ$2:CP4)))</f>
        <v>0</v>
      </c>
      <c r="CR4" s="40">
        <f>IF($AY$2=1,INDEX(Donnees!$A$3:$BB$20,ROWS($AZ$2:CQ4) + 3 * $AY$1,COLUMNS($AZ$2:CQ4)),INDEX(Donnees!$A$3:$BB$20,ROWS($AZ$2:CQ4)+ 3 * $AY$1,COLUMNS($AZ$2:CQ4)))</f>
        <v>0</v>
      </c>
      <c r="CS4" s="40">
        <f>IF($AY$2=1,INDEX(Donnees!$A$3:$BB$20,ROWS($AZ$2:CR4) + 3 * $AY$1,COLUMNS($AZ$2:CR4)),INDEX(Donnees!$A$3:$BB$20,ROWS($AZ$2:CR4)+ 3 * $AY$1,COLUMNS($AZ$2:CR4)))</f>
        <v>0</v>
      </c>
      <c r="CT4" s="40">
        <f>IF($AY$2=1,INDEX(Donnees!$A$3:$BB$20,ROWS($AZ$2:CS4) + 3 * $AY$1,COLUMNS($AZ$2:CS4)),INDEX(Donnees!$A$3:$BB$20,ROWS($AZ$2:CS4)+ 3 * $AY$1,COLUMNS($AZ$2:CS4)))</f>
        <v>0</v>
      </c>
      <c r="CU4" s="40">
        <f>IF($AY$2=1,INDEX(Donnees!$A$3:$BB$20,ROWS($AZ$2:CT4) + 3 * $AY$1,COLUMNS($AZ$2:CT4)),INDEX(Donnees!$A$3:$BB$20,ROWS($AZ$2:CT4)+ 3 * $AY$1,COLUMNS($AZ$2:CT4)))</f>
        <v>0</v>
      </c>
      <c r="CV4" s="40">
        <f>IF($AY$2=1,INDEX(Donnees!$A$3:$BB$20,ROWS($AZ$2:CU4) + 3 * $AY$1,COLUMNS($AZ$2:CU4)),INDEX(Donnees!$A$3:$BB$20,ROWS($AZ$2:CU4)+ 3 * $AY$1,COLUMNS($AZ$2:CU4)))</f>
        <v>0</v>
      </c>
      <c r="CW4" s="40">
        <f>IF($AY$2=1,INDEX(Donnees!$A$3:$BB$20,ROWS($AZ$2:CV4) + 3 * $AY$1,COLUMNS($AZ$2:CV4)),INDEX(Donnees!$A$3:$BB$20,ROWS($AZ$2:CV4)+ 3 * $AY$1,COLUMNS($AZ$2:CV4)))</f>
        <v>0</v>
      </c>
      <c r="CX4" s="40">
        <f>IF($AY$2=1,INDEX(Donnees!$A$3:$BB$20,ROWS($AZ$2:CW4) + 3 * $AY$1,COLUMNS($AZ$2:CW4)),INDEX(Donnees!$A$3:$BB$20,ROWS($AZ$2:CW4)+ 3 * $AY$1,COLUMNS($AZ$2:CW4)))</f>
        <v>0</v>
      </c>
      <c r="CY4" s="40">
        <f>IF($AY$2=1,INDEX(Donnees!$A$3:$BB$20,ROWS($AZ$2:CX4) + 3 * $AY$1,COLUMNS($AZ$2:CX4)),INDEX(Donnees!$A$3:$BB$20,ROWS($AZ$2:CX4)+ 3 * $AY$1,COLUMNS($AZ$2:CX4)))</f>
        <v>0</v>
      </c>
      <c r="CZ4" s="40">
        <f>IF($AY$2=1,INDEX(Donnees!$A$3:$BB$20,ROWS($AZ$2:CY4) + 3 * $AY$1,COLUMNS($AZ$2:CY4)),INDEX(Donnees!$A$3:$BB$20,ROWS($AZ$2:CY4)+ 3 * $AY$1,COLUMNS($AZ$2:CY4)))</f>
        <v>0</v>
      </c>
      <c r="DA4" s="40">
        <f>IF($AY$2=1,INDEX(Donnees!$A$3:$BB$20,ROWS($AZ$2:CZ4) + 3 * $AY$1,COLUMNS($AZ$2:CZ4)),INDEX(Donnees!$A$3:$BB$20,ROWS($AZ$2:CZ4)+ 3 * $AY$1,COLUMNS($AZ$2:CZ4)))</f>
        <v>0</v>
      </c>
      <c r="DB4" s="40">
        <f>IF($AY$2=1,INDEX(Donnees!$A$3:$BB$20,ROWS($AZ$2:DA4) + 3 * $AY$1,COLUMNS($AZ$2:DA4)),INDEX(Donnees!$A$3:$BB$20,ROWS($AZ$2:DA4)+ 3 * $AY$1,COLUMNS($AZ$2:DA4)))</f>
        <v>0</v>
      </c>
    </row>
    <row r="5" spans="1:106" x14ac:dyDescent="0.2">
      <c r="A5" s="41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3"/>
      <c r="N5" s="41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3"/>
    </row>
    <row r="6" spans="1:106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6"/>
      <c r="N6" s="44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6"/>
    </row>
    <row r="7" spans="1:106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6"/>
      <c r="N7" s="44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6"/>
    </row>
    <row r="8" spans="1:106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6"/>
      <c r="N8" s="44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6"/>
    </row>
    <row r="9" spans="1:106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6"/>
      <c r="N9" s="44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6"/>
    </row>
    <row r="10" spans="1:106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6"/>
      <c r="N10" s="44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6"/>
    </row>
    <row r="11" spans="1:106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6"/>
      <c r="N11" s="44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6"/>
    </row>
    <row r="12" spans="1:106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6"/>
      <c r="N12" s="44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6"/>
    </row>
    <row r="13" spans="1:106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6"/>
      <c r="N13" s="44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6"/>
    </row>
    <row r="14" spans="1:106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6"/>
      <c r="N14" s="44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6"/>
    </row>
    <row r="15" spans="1:106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6"/>
      <c r="N15" s="44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6"/>
    </row>
    <row r="16" spans="1:106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6"/>
      <c r="N16" s="44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6"/>
    </row>
    <row r="17" spans="1:26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6"/>
      <c r="N17" s="44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6"/>
    </row>
    <row r="18" spans="1:26" x14ac:dyDescent="0.2">
      <c r="A18" s="44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6"/>
      <c r="N18" s="44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6"/>
    </row>
    <row r="19" spans="1:26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6"/>
      <c r="N19" s="44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6"/>
    </row>
    <row r="20" spans="1:26" x14ac:dyDescent="0.2">
      <c r="A20" s="44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6"/>
      <c r="N20" s="44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6"/>
    </row>
    <row r="21" spans="1:26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6"/>
      <c r="N21" s="44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6"/>
    </row>
    <row r="22" spans="1:26" ht="17" thickBot="1" x14ac:dyDescent="0.25">
      <c r="A22" s="47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9"/>
      <c r="N22" s="47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9"/>
    </row>
    <row r="23" spans="1:26" x14ac:dyDescent="0.2">
      <c r="G23" s="41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3"/>
    </row>
    <row r="24" spans="1:26" x14ac:dyDescent="0.2">
      <c r="G24" s="44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6"/>
    </row>
    <row r="25" spans="1:26" x14ac:dyDescent="0.2">
      <c r="G25" s="44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6"/>
    </row>
    <row r="26" spans="1:26" x14ac:dyDescent="0.2">
      <c r="G26" s="44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6"/>
    </row>
    <row r="27" spans="1:26" x14ac:dyDescent="0.2">
      <c r="G27" s="44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6"/>
    </row>
    <row r="28" spans="1:26" x14ac:dyDescent="0.2">
      <c r="G28" s="44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6"/>
    </row>
    <row r="29" spans="1:26" x14ac:dyDescent="0.2">
      <c r="G29" s="44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6"/>
    </row>
    <row r="30" spans="1:26" x14ac:dyDescent="0.2">
      <c r="G30" s="44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6"/>
    </row>
    <row r="31" spans="1:26" x14ac:dyDescent="0.2">
      <c r="G31" s="44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6"/>
    </row>
    <row r="32" spans="1:26" x14ac:dyDescent="0.2">
      <c r="G32" s="44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6"/>
    </row>
    <row r="33" spans="7:19" x14ac:dyDescent="0.2">
      <c r="G33" s="44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6"/>
    </row>
    <row r="34" spans="7:19" x14ac:dyDescent="0.2">
      <c r="G34" s="44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6"/>
    </row>
    <row r="35" spans="7:19" x14ac:dyDescent="0.2">
      <c r="G35" s="44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6"/>
    </row>
    <row r="36" spans="7:19" x14ac:dyDescent="0.2">
      <c r="G36" s="44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6"/>
    </row>
    <row r="37" spans="7:19" x14ac:dyDescent="0.2">
      <c r="G37" s="44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6"/>
    </row>
    <row r="38" spans="7:19" x14ac:dyDescent="0.2">
      <c r="G38" s="44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6"/>
    </row>
    <row r="39" spans="7:19" x14ac:dyDescent="0.2">
      <c r="G39" s="44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6"/>
    </row>
    <row r="40" spans="7:19" ht="17" thickBot="1" x14ac:dyDescent="0.25">
      <c r="G40" s="47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Spinner 6">
              <controlPr defaultSize="0" autoPict="0">
                <anchor moveWithCells="1" sizeWithCells="1">
                  <from>
                    <xdr:col>15</xdr:col>
                    <xdr:colOff>635000</xdr:colOff>
                    <xdr:row>6</xdr:row>
                    <xdr:rowOff>101600</xdr:rowOff>
                  </from>
                  <to>
                    <xdr:col>16</xdr:col>
                    <xdr:colOff>584200</xdr:colOff>
                    <xdr:row>28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30958-D86A-8445-B878-C783542DF115}">
  <sheetPr codeName="Feuil3"/>
  <dimension ref="A4:Z40"/>
  <sheetViews>
    <sheetView showGridLines="0" zoomScale="62" workbookViewId="0">
      <selection activeCell="J6" sqref="J6"/>
    </sheetView>
  </sheetViews>
  <sheetFormatPr baseColWidth="10" defaultRowHeight="16" x14ac:dyDescent="0.2"/>
  <sheetData>
    <row r="4" spans="1:26" ht="17" thickBot="1" x14ac:dyDescent="0.25"/>
    <row r="5" spans="1:26" x14ac:dyDescent="0.2">
      <c r="A5" s="20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2"/>
      <c r="N5" s="20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2"/>
    </row>
    <row r="6" spans="1:26" x14ac:dyDescent="0.2">
      <c r="A6" s="23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5"/>
      <c r="N6" s="23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5"/>
    </row>
    <row r="7" spans="1:26" x14ac:dyDescent="0.2">
      <c r="A7" s="23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5"/>
      <c r="N7" s="23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5"/>
    </row>
    <row r="8" spans="1:26" x14ac:dyDescent="0.2">
      <c r="A8" s="23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5"/>
      <c r="N8" s="23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5"/>
    </row>
    <row r="9" spans="1:26" x14ac:dyDescent="0.2">
      <c r="A9" s="23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5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5"/>
    </row>
    <row r="10" spans="1:26" x14ac:dyDescent="0.2">
      <c r="A10" s="23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5"/>
      <c r="N10" s="23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5"/>
    </row>
    <row r="11" spans="1:26" x14ac:dyDescent="0.2">
      <c r="A11" s="23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5"/>
      <c r="N11" s="23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5"/>
    </row>
    <row r="12" spans="1:26" x14ac:dyDescent="0.2">
      <c r="A12" s="23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5"/>
      <c r="N12" s="23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5"/>
    </row>
    <row r="13" spans="1:26" x14ac:dyDescent="0.2">
      <c r="A13" s="23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5"/>
      <c r="N13" s="23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5"/>
    </row>
    <row r="14" spans="1:26" x14ac:dyDescent="0.2">
      <c r="A14" s="23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5"/>
      <c r="N14" s="23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5"/>
    </row>
    <row r="15" spans="1:26" x14ac:dyDescent="0.2">
      <c r="A15" s="23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5"/>
      <c r="N15" s="23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5"/>
    </row>
    <row r="16" spans="1:26" x14ac:dyDescent="0.2">
      <c r="A16" s="23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5"/>
      <c r="N16" s="23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5"/>
    </row>
    <row r="17" spans="1:26" x14ac:dyDescent="0.2">
      <c r="A17" s="23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5"/>
      <c r="N17" s="23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5"/>
    </row>
    <row r="18" spans="1:26" x14ac:dyDescent="0.2">
      <c r="A18" s="23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5"/>
      <c r="N18" s="23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5"/>
    </row>
    <row r="19" spans="1:26" x14ac:dyDescent="0.2">
      <c r="A19" s="23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5"/>
      <c r="N19" s="23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5"/>
    </row>
    <row r="20" spans="1:26" x14ac:dyDescent="0.2">
      <c r="A20" s="23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5"/>
      <c r="N20" s="23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5"/>
    </row>
    <row r="21" spans="1:26" x14ac:dyDescent="0.2">
      <c r="A21" s="23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5"/>
      <c r="N21" s="23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5"/>
    </row>
    <row r="22" spans="1:26" ht="17" thickBot="1" x14ac:dyDescent="0.2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8"/>
      <c r="N22" s="26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8"/>
    </row>
    <row r="23" spans="1:26" x14ac:dyDescent="0.2">
      <c r="G23" s="20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2"/>
    </row>
    <row r="24" spans="1:26" x14ac:dyDescent="0.2">
      <c r="G24" s="23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5"/>
    </row>
    <row r="25" spans="1:26" x14ac:dyDescent="0.2">
      <c r="G25" s="23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5"/>
    </row>
    <row r="26" spans="1:26" x14ac:dyDescent="0.2">
      <c r="G26" s="23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5"/>
    </row>
    <row r="27" spans="1:26" x14ac:dyDescent="0.2">
      <c r="G27" s="23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5"/>
    </row>
    <row r="28" spans="1:26" x14ac:dyDescent="0.2">
      <c r="G28" s="23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5"/>
    </row>
    <row r="29" spans="1:26" x14ac:dyDescent="0.2">
      <c r="G29" s="23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5"/>
    </row>
    <row r="30" spans="1:26" x14ac:dyDescent="0.2">
      <c r="G30" s="23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5"/>
    </row>
    <row r="31" spans="1:26" x14ac:dyDescent="0.2">
      <c r="G31" s="23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5"/>
    </row>
    <row r="32" spans="1:26" x14ac:dyDescent="0.2">
      <c r="G32" s="23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5"/>
    </row>
    <row r="33" spans="7:19" x14ac:dyDescent="0.2">
      <c r="G33" s="23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5"/>
    </row>
    <row r="34" spans="7:19" x14ac:dyDescent="0.2">
      <c r="G34" s="23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5"/>
    </row>
    <row r="35" spans="7:19" x14ac:dyDescent="0.2">
      <c r="G35" s="23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5"/>
    </row>
    <row r="36" spans="7:19" x14ac:dyDescent="0.2">
      <c r="G36" s="23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5"/>
    </row>
    <row r="37" spans="7:19" x14ac:dyDescent="0.2">
      <c r="G37" s="23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5"/>
    </row>
    <row r="38" spans="7:19" x14ac:dyDescent="0.2">
      <c r="G38" s="23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5"/>
    </row>
    <row r="39" spans="7:19" x14ac:dyDescent="0.2">
      <c r="G39" s="23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5"/>
    </row>
    <row r="40" spans="7:19" ht="17" thickBot="1" x14ac:dyDescent="0.25">
      <c r="G40" s="26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EC03A-7781-0A4D-A5B4-58A3F81CAA62}">
  <sheetPr codeName="Feuil2"/>
  <dimension ref="A1:BB28"/>
  <sheetViews>
    <sheetView showGridLines="0" topLeftCell="A4" workbookViewId="0">
      <selection activeCell="A23" sqref="A23"/>
    </sheetView>
  </sheetViews>
  <sheetFormatPr baseColWidth="10" defaultRowHeight="16" x14ac:dyDescent="0.2"/>
  <cols>
    <col min="1" max="1" width="14.83203125" bestFit="1" customWidth="1"/>
  </cols>
  <sheetData>
    <row r="1" spans="1:54" ht="17" thickBot="1" x14ac:dyDescent="0.25">
      <c r="A1" s="15" t="s">
        <v>1</v>
      </c>
    </row>
    <row r="2" spans="1:54" ht="17" thickBot="1" x14ac:dyDescent="0.25">
      <c r="A2" s="15" t="s">
        <v>0</v>
      </c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  <c r="N2" s="2">
        <v>13</v>
      </c>
      <c r="O2" s="2">
        <v>14</v>
      </c>
      <c r="P2" s="2">
        <v>15</v>
      </c>
      <c r="Q2" s="2">
        <v>16</v>
      </c>
      <c r="R2" s="2">
        <v>17</v>
      </c>
      <c r="S2" s="2">
        <v>18</v>
      </c>
      <c r="T2" s="2">
        <v>19</v>
      </c>
      <c r="U2" s="2">
        <v>20</v>
      </c>
      <c r="V2" s="2">
        <v>21</v>
      </c>
      <c r="W2" s="2">
        <v>22</v>
      </c>
      <c r="X2" s="2">
        <v>23</v>
      </c>
      <c r="Y2" s="2">
        <v>24</v>
      </c>
      <c r="Z2" s="2">
        <v>25</v>
      </c>
      <c r="AA2" s="2">
        <v>26</v>
      </c>
      <c r="AB2" s="2">
        <v>27</v>
      </c>
      <c r="AC2" s="2">
        <v>28</v>
      </c>
      <c r="AD2" s="2">
        <v>29</v>
      </c>
      <c r="AE2" s="2">
        <v>30</v>
      </c>
      <c r="AF2" s="2">
        <v>31</v>
      </c>
      <c r="AG2" s="2">
        <v>32</v>
      </c>
      <c r="AH2" s="2">
        <v>33</v>
      </c>
      <c r="AI2" s="2">
        <v>34</v>
      </c>
      <c r="AJ2" s="2">
        <v>35</v>
      </c>
      <c r="AK2" s="2">
        <v>36</v>
      </c>
      <c r="AL2" s="2">
        <v>37</v>
      </c>
      <c r="AM2" s="2">
        <v>38</v>
      </c>
      <c r="AN2" s="2">
        <v>39</v>
      </c>
      <c r="AO2" s="2">
        <v>40</v>
      </c>
      <c r="AP2" s="2">
        <v>41</v>
      </c>
      <c r="AQ2" s="2">
        <v>42</v>
      </c>
      <c r="AR2" s="2">
        <v>43</v>
      </c>
      <c r="AS2" s="2">
        <v>44</v>
      </c>
      <c r="AT2" s="2">
        <v>45</v>
      </c>
      <c r="AU2" s="2">
        <v>46</v>
      </c>
      <c r="AV2" s="2">
        <v>47</v>
      </c>
      <c r="AW2" s="2">
        <v>48</v>
      </c>
      <c r="AX2" s="2">
        <v>49</v>
      </c>
      <c r="AY2" s="2">
        <v>50</v>
      </c>
      <c r="AZ2" s="2">
        <v>51</v>
      </c>
      <c r="BA2" s="2">
        <v>52</v>
      </c>
      <c r="BB2" s="3">
        <v>53</v>
      </c>
    </row>
    <row r="3" spans="1:54" x14ac:dyDescent="0.2">
      <c r="A3" s="12" t="s">
        <v>7</v>
      </c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>
        <v>23</v>
      </c>
      <c r="AA3" s="6">
        <v>6</v>
      </c>
      <c r="AB3" s="6">
        <v>22</v>
      </c>
      <c r="AC3" s="6">
        <v>64</v>
      </c>
      <c r="AD3" s="6">
        <v>61</v>
      </c>
      <c r="AE3" s="6">
        <v>36</v>
      </c>
      <c r="AF3" s="6">
        <v>10</v>
      </c>
      <c r="AG3" s="6">
        <v>55</v>
      </c>
      <c r="AH3" s="6">
        <v>23</v>
      </c>
      <c r="AI3" s="6">
        <v>91</v>
      </c>
      <c r="AJ3" s="6">
        <v>29</v>
      </c>
      <c r="AK3" s="6">
        <v>91</v>
      </c>
      <c r="AL3" s="6">
        <v>16</v>
      </c>
      <c r="AM3" s="6">
        <v>90</v>
      </c>
      <c r="AN3" s="6">
        <v>8</v>
      </c>
      <c r="AO3" s="6">
        <v>46</v>
      </c>
      <c r="AP3" s="6">
        <v>57</v>
      </c>
      <c r="AQ3" s="6">
        <v>30</v>
      </c>
      <c r="AR3" s="6">
        <v>36</v>
      </c>
      <c r="AS3" s="6">
        <v>93</v>
      </c>
      <c r="AT3" s="6">
        <v>21</v>
      </c>
      <c r="AU3" s="6">
        <v>63</v>
      </c>
      <c r="AV3" s="6">
        <v>24</v>
      </c>
      <c r="AW3" s="6">
        <v>79</v>
      </c>
      <c r="AX3" s="6">
        <v>86</v>
      </c>
      <c r="AY3" s="6">
        <v>78</v>
      </c>
      <c r="AZ3" s="6">
        <v>34</v>
      </c>
      <c r="BA3" s="6">
        <v>89</v>
      </c>
      <c r="BB3" s="7">
        <v>61</v>
      </c>
    </row>
    <row r="4" spans="1:54" x14ac:dyDescent="0.2">
      <c r="A4" s="13" t="s">
        <v>6</v>
      </c>
      <c r="B4" s="8">
        <v>100</v>
      </c>
      <c r="C4" s="4">
        <v>100</v>
      </c>
      <c r="D4" s="4">
        <v>100</v>
      </c>
      <c r="E4" s="4">
        <v>100</v>
      </c>
      <c r="F4" s="4">
        <v>100</v>
      </c>
      <c r="G4" s="4">
        <v>100</v>
      </c>
      <c r="H4" s="4">
        <v>100</v>
      </c>
      <c r="I4" s="4">
        <v>100</v>
      </c>
      <c r="J4" s="4">
        <v>100</v>
      </c>
      <c r="K4" s="4">
        <v>100</v>
      </c>
      <c r="L4" s="4">
        <v>100</v>
      </c>
      <c r="M4" s="4">
        <v>100</v>
      </c>
      <c r="N4" s="4">
        <v>100</v>
      </c>
      <c r="O4" s="4">
        <v>100</v>
      </c>
      <c r="P4" s="4">
        <v>100</v>
      </c>
      <c r="Q4" s="4">
        <v>100</v>
      </c>
      <c r="R4" s="4">
        <v>100</v>
      </c>
      <c r="S4" s="4">
        <v>100</v>
      </c>
      <c r="T4" s="4">
        <v>100</v>
      </c>
      <c r="U4" s="4">
        <v>100</v>
      </c>
      <c r="V4" s="4">
        <v>100</v>
      </c>
      <c r="W4" s="4">
        <v>100</v>
      </c>
      <c r="X4" s="4">
        <v>100</v>
      </c>
      <c r="Y4" s="4">
        <v>100</v>
      </c>
      <c r="Z4" s="4">
        <v>100</v>
      </c>
      <c r="AA4" s="4">
        <v>100</v>
      </c>
      <c r="AB4" s="4">
        <v>100</v>
      </c>
      <c r="AC4" s="4">
        <v>100</v>
      </c>
      <c r="AD4" s="4">
        <v>100</v>
      </c>
      <c r="AE4" s="4">
        <v>100</v>
      </c>
      <c r="AF4" s="4">
        <v>100</v>
      </c>
      <c r="AG4" s="4">
        <v>100</v>
      </c>
      <c r="AH4" s="4">
        <v>100</v>
      </c>
      <c r="AI4" s="4">
        <v>100</v>
      </c>
      <c r="AJ4" s="4">
        <v>100</v>
      </c>
      <c r="AK4" s="4">
        <v>100</v>
      </c>
      <c r="AL4" s="4">
        <v>100</v>
      </c>
      <c r="AM4" s="4">
        <v>100</v>
      </c>
      <c r="AN4" s="4">
        <v>100</v>
      </c>
      <c r="AO4" s="4">
        <v>100</v>
      </c>
      <c r="AP4" s="4">
        <v>100</v>
      </c>
      <c r="AQ4" s="4">
        <v>100</v>
      </c>
      <c r="AR4" s="4">
        <v>100</v>
      </c>
      <c r="AS4" s="4">
        <v>100</v>
      </c>
      <c r="AT4" s="4">
        <v>100</v>
      </c>
      <c r="AU4" s="4">
        <v>100</v>
      </c>
      <c r="AV4" s="4">
        <v>100</v>
      </c>
      <c r="AW4" s="4">
        <v>100</v>
      </c>
      <c r="AX4" s="4">
        <v>100</v>
      </c>
      <c r="AY4" s="4">
        <v>100</v>
      </c>
      <c r="AZ4" s="4">
        <v>100</v>
      </c>
      <c r="BA4" s="4">
        <v>100</v>
      </c>
      <c r="BB4" s="4">
        <v>100</v>
      </c>
    </row>
    <row r="5" spans="1:54" ht="17" thickBot="1" x14ac:dyDescent="0.25">
      <c r="A5" s="13" t="s">
        <v>5</v>
      </c>
      <c r="B5" s="9">
        <v>66</v>
      </c>
      <c r="C5" s="10">
        <v>70</v>
      </c>
      <c r="D5" s="10">
        <v>3</v>
      </c>
      <c r="E5" s="10">
        <v>54</v>
      </c>
      <c r="F5" s="10">
        <v>100</v>
      </c>
      <c r="G5" s="10">
        <v>68</v>
      </c>
      <c r="H5" s="10">
        <v>2</v>
      </c>
      <c r="I5" s="10">
        <v>5</v>
      </c>
      <c r="J5" s="10">
        <v>42</v>
      </c>
      <c r="K5" s="10">
        <v>77</v>
      </c>
      <c r="L5" s="10">
        <v>43</v>
      </c>
      <c r="M5" s="10">
        <v>88</v>
      </c>
      <c r="N5" s="10">
        <v>29</v>
      </c>
      <c r="O5" s="10">
        <v>47</v>
      </c>
      <c r="P5" s="10">
        <v>88</v>
      </c>
      <c r="Q5" s="10">
        <v>26</v>
      </c>
      <c r="R5" s="10">
        <v>98</v>
      </c>
      <c r="S5" s="10">
        <v>55</v>
      </c>
      <c r="T5" s="10">
        <v>88</v>
      </c>
      <c r="U5" s="10">
        <v>71</v>
      </c>
      <c r="V5" s="10">
        <v>88</v>
      </c>
      <c r="W5" s="10">
        <v>77</v>
      </c>
      <c r="X5" s="10">
        <v>31</v>
      </c>
      <c r="Y5" s="10">
        <v>68</v>
      </c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1"/>
    </row>
    <row r="6" spans="1:54" x14ac:dyDescent="0.2">
      <c r="A6" s="12" t="s">
        <v>8</v>
      </c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>
        <v>9</v>
      </c>
      <c r="AA6" s="6">
        <v>57</v>
      </c>
      <c r="AB6" s="6">
        <v>66</v>
      </c>
      <c r="AC6" s="6">
        <v>84</v>
      </c>
      <c r="AD6" s="6">
        <v>9</v>
      </c>
      <c r="AE6" s="6">
        <v>121</v>
      </c>
      <c r="AF6" s="6">
        <v>130</v>
      </c>
      <c r="AG6" s="6">
        <v>31</v>
      </c>
      <c r="AH6" s="6">
        <v>72</v>
      </c>
      <c r="AI6" s="6">
        <v>143</v>
      </c>
      <c r="AJ6" s="6">
        <v>190</v>
      </c>
      <c r="AK6" s="6">
        <v>134</v>
      </c>
      <c r="AL6" s="6">
        <v>104</v>
      </c>
      <c r="AM6" s="6">
        <v>118</v>
      </c>
      <c r="AN6" s="6">
        <v>36</v>
      </c>
      <c r="AO6" s="6">
        <v>74</v>
      </c>
      <c r="AP6" s="6">
        <v>93</v>
      </c>
      <c r="AQ6" s="6">
        <v>79</v>
      </c>
      <c r="AR6" s="6">
        <v>15</v>
      </c>
      <c r="AS6" s="6">
        <v>80</v>
      </c>
      <c r="AT6" s="6">
        <v>61</v>
      </c>
      <c r="AU6" s="6">
        <v>89</v>
      </c>
      <c r="AV6" s="6">
        <v>121</v>
      </c>
      <c r="AW6" s="6">
        <v>160</v>
      </c>
      <c r="AX6" s="6">
        <v>73</v>
      </c>
      <c r="AY6" s="6">
        <v>140</v>
      </c>
      <c r="AZ6" s="6">
        <v>73</v>
      </c>
      <c r="BA6" s="6">
        <v>72</v>
      </c>
      <c r="BB6" s="7">
        <v>84</v>
      </c>
    </row>
    <row r="7" spans="1:54" x14ac:dyDescent="0.2">
      <c r="A7" s="13" t="s">
        <v>6</v>
      </c>
      <c r="B7" s="8">
        <v>200</v>
      </c>
      <c r="C7" s="4">
        <v>200</v>
      </c>
      <c r="D7" s="4">
        <v>200</v>
      </c>
      <c r="E7" s="4">
        <v>200</v>
      </c>
      <c r="F7" s="4">
        <v>200</v>
      </c>
      <c r="G7" s="4">
        <v>200</v>
      </c>
      <c r="H7" s="4">
        <v>200</v>
      </c>
      <c r="I7" s="4">
        <v>200</v>
      </c>
      <c r="J7" s="4">
        <v>200</v>
      </c>
      <c r="K7" s="4">
        <v>200</v>
      </c>
      <c r="L7" s="4">
        <v>200</v>
      </c>
      <c r="M7" s="4">
        <v>200</v>
      </c>
      <c r="N7" s="4">
        <v>200</v>
      </c>
      <c r="O7" s="4">
        <v>200</v>
      </c>
      <c r="P7" s="4">
        <v>200</v>
      </c>
      <c r="Q7" s="4">
        <v>200</v>
      </c>
      <c r="R7" s="4">
        <v>200</v>
      </c>
      <c r="S7" s="4">
        <v>200</v>
      </c>
      <c r="T7" s="4">
        <v>200</v>
      </c>
      <c r="U7" s="4">
        <v>200</v>
      </c>
      <c r="V7" s="4">
        <v>200</v>
      </c>
      <c r="W7" s="4">
        <v>200</v>
      </c>
      <c r="X7" s="4">
        <v>200</v>
      </c>
      <c r="Y7" s="4">
        <v>200</v>
      </c>
      <c r="Z7" s="4">
        <v>200</v>
      </c>
      <c r="AA7" s="4">
        <v>200</v>
      </c>
      <c r="AB7" s="4">
        <v>200</v>
      </c>
      <c r="AC7" s="4">
        <v>200</v>
      </c>
      <c r="AD7" s="4">
        <v>200</v>
      </c>
      <c r="AE7" s="4">
        <v>200</v>
      </c>
      <c r="AF7" s="4">
        <v>200</v>
      </c>
      <c r="AG7" s="4">
        <v>200</v>
      </c>
      <c r="AH7" s="4">
        <v>200</v>
      </c>
      <c r="AI7" s="4">
        <v>200</v>
      </c>
      <c r="AJ7" s="4">
        <v>200</v>
      </c>
      <c r="AK7" s="4">
        <v>200</v>
      </c>
      <c r="AL7" s="4">
        <v>200</v>
      </c>
      <c r="AM7" s="4">
        <v>200</v>
      </c>
      <c r="AN7" s="4">
        <v>200</v>
      </c>
      <c r="AO7" s="4">
        <v>200</v>
      </c>
      <c r="AP7" s="4">
        <v>200</v>
      </c>
      <c r="AQ7" s="4">
        <v>200</v>
      </c>
      <c r="AR7" s="4">
        <v>200</v>
      </c>
      <c r="AS7" s="4">
        <v>200</v>
      </c>
      <c r="AT7" s="4">
        <v>200</v>
      </c>
      <c r="AU7" s="4">
        <v>200</v>
      </c>
      <c r="AV7" s="4">
        <v>200</v>
      </c>
      <c r="AW7" s="4">
        <v>200</v>
      </c>
      <c r="AX7" s="4">
        <v>200</v>
      </c>
      <c r="AY7" s="4">
        <v>200</v>
      </c>
      <c r="AZ7" s="4">
        <v>200</v>
      </c>
      <c r="BA7" s="4">
        <v>200</v>
      </c>
      <c r="BB7" s="4">
        <v>200</v>
      </c>
    </row>
    <row r="8" spans="1:54" ht="17" thickBot="1" x14ac:dyDescent="0.25">
      <c r="A8" s="14" t="s">
        <v>5</v>
      </c>
      <c r="B8" s="9">
        <v>111</v>
      </c>
      <c r="C8" s="10">
        <v>178</v>
      </c>
      <c r="D8" s="10">
        <v>33</v>
      </c>
      <c r="E8" s="10">
        <v>184</v>
      </c>
      <c r="F8" s="10">
        <v>51</v>
      </c>
      <c r="G8" s="10">
        <v>13</v>
      </c>
      <c r="H8" s="10">
        <v>122</v>
      </c>
      <c r="I8" s="10">
        <v>135</v>
      </c>
      <c r="J8" s="10">
        <v>100</v>
      </c>
      <c r="K8" s="10">
        <v>64</v>
      </c>
      <c r="L8" s="10">
        <v>164</v>
      </c>
      <c r="M8" s="10">
        <v>92</v>
      </c>
      <c r="N8" s="10">
        <v>179</v>
      </c>
      <c r="O8" s="10">
        <v>176</v>
      </c>
      <c r="P8" s="10">
        <v>52</v>
      </c>
      <c r="Q8" s="10">
        <v>135</v>
      </c>
      <c r="R8" s="10">
        <v>73</v>
      </c>
      <c r="S8" s="10">
        <v>5</v>
      </c>
      <c r="T8" s="10">
        <v>52</v>
      </c>
      <c r="U8" s="10">
        <v>65</v>
      </c>
      <c r="V8" s="10">
        <v>22</v>
      </c>
      <c r="W8" s="10">
        <v>92</v>
      </c>
      <c r="X8" s="10">
        <v>143</v>
      </c>
      <c r="Y8" s="10">
        <v>129</v>
      </c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1"/>
    </row>
    <row r="9" spans="1:54" x14ac:dyDescent="0.2">
      <c r="A9" s="12" t="s">
        <v>9</v>
      </c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>
        <v>143</v>
      </c>
      <c r="AA9" s="6">
        <v>83</v>
      </c>
      <c r="AB9" s="6">
        <v>0</v>
      </c>
      <c r="AC9" s="6">
        <v>95</v>
      </c>
      <c r="AD9" s="6">
        <v>99</v>
      </c>
      <c r="AE9" s="6">
        <v>128</v>
      </c>
      <c r="AF9" s="6">
        <v>19</v>
      </c>
      <c r="AG9" s="6">
        <v>44</v>
      </c>
      <c r="AH9" s="6">
        <v>25</v>
      </c>
      <c r="AI9" s="6">
        <v>53</v>
      </c>
      <c r="AJ9" s="6">
        <v>44</v>
      </c>
      <c r="AK9" s="6">
        <v>8</v>
      </c>
      <c r="AL9" s="6">
        <v>53</v>
      </c>
      <c r="AM9" s="6">
        <v>44</v>
      </c>
      <c r="AN9" s="6">
        <v>52</v>
      </c>
      <c r="AO9" s="6">
        <v>149</v>
      </c>
      <c r="AP9" s="6">
        <v>67</v>
      </c>
      <c r="AQ9" s="6">
        <v>39</v>
      </c>
      <c r="AR9" s="6">
        <v>95</v>
      </c>
      <c r="AS9" s="6">
        <v>37</v>
      </c>
      <c r="AT9" s="6">
        <v>76</v>
      </c>
      <c r="AU9" s="6">
        <v>31</v>
      </c>
      <c r="AV9" s="6">
        <v>8</v>
      </c>
      <c r="AW9" s="6">
        <v>62</v>
      </c>
      <c r="AX9" s="6">
        <v>144</v>
      </c>
      <c r="AY9" s="6">
        <v>18</v>
      </c>
      <c r="AZ9" s="6">
        <v>148</v>
      </c>
      <c r="BA9" s="6">
        <v>103</v>
      </c>
      <c r="BB9" s="7">
        <v>124</v>
      </c>
    </row>
    <row r="10" spans="1:54" x14ac:dyDescent="0.2">
      <c r="A10" s="13" t="s">
        <v>6</v>
      </c>
      <c r="B10" s="8">
        <v>150</v>
      </c>
      <c r="C10" s="4">
        <v>150</v>
      </c>
      <c r="D10" s="4">
        <v>150</v>
      </c>
      <c r="E10" s="4">
        <v>150</v>
      </c>
      <c r="F10" s="4">
        <v>150</v>
      </c>
      <c r="G10" s="4">
        <v>150</v>
      </c>
      <c r="H10" s="4">
        <v>150</v>
      </c>
      <c r="I10" s="4">
        <v>150</v>
      </c>
      <c r="J10" s="4">
        <v>150</v>
      </c>
      <c r="K10" s="4">
        <v>150</v>
      </c>
      <c r="L10" s="4">
        <v>150</v>
      </c>
      <c r="M10" s="4">
        <v>150</v>
      </c>
      <c r="N10" s="4">
        <v>150</v>
      </c>
      <c r="O10" s="4">
        <v>150</v>
      </c>
      <c r="P10" s="4">
        <v>150</v>
      </c>
      <c r="Q10" s="4">
        <v>150</v>
      </c>
      <c r="R10" s="4">
        <v>150</v>
      </c>
      <c r="S10" s="4">
        <v>150</v>
      </c>
      <c r="T10" s="4">
        <v>150</v>
      </c>
      <c r="U10" s="4">
        <v>150</v>
      </c>
      <c r="V10" s="4">
        <v>150</v>
      </c>
      <c r="W10" s="4">
        <v>150</v>
      </c>
      <c r="X10" s="4">
        <v>150</v>
      </c>
      <c r="Y10" s="4">
        <v>150</v>
      </c>
      <c r="Z10" s="4">
        <v>150</v>
      </c>
      <c r="AA10" s="4">
        <v>150</v>
      </c>
      <c r="AB10" s="4">
        <v>150</v>
      </c>
      <c r="AC10" s="4">
        <v>150</v>
      </c>
      <c r="AD10" s="4">
        <v>150</v>
      </c>
      <c r="AE10" s="4">
        <v>150</v>
      </c>
      <c r="AF10" s="4">
        <v>150</v>
      </c>
      <c r="AG10" s="4">
        <v>150</v>
      </c>
      <c r="AH10" s="4">
        <v>150</v>
      </c>
      <c r="AI10" s="4">
        <v>150</v>
      </c>
      <c r="AJ10" s="4">
        <v>150</v>
      </c>
      <c r="AK10" s="4">
        <v>150</v>
      </c>
      <c r="AL10" s="4">
        <v>150</v>
      </c>
      <c r="AM10" s="4">
        <v>150</v>
      </c>
      <c r="AN10" s="4">
        <v>150</v>
      </c>
      <c r="AO10" s="4">
        <v>150</v>
      </c>
      <c r="AP10" s="4">
        <v>150</v>
      </c>
      <c r="AQ10" s="4">
        <v>150</v>
      </c>
      <c r="AR10" s="4">
        <v>150</v>
      </c>
      <c r="AS10" s="4">
        <v>150</v>
      </c>
      <c r="AT10" s="4">
        <v>150</v>
      </c>
      <c r="AU10" s="4">
        <v>150</v>
      </c>
      <c r="AV10" s="4">
        <v>150</v>
      </c>
      <c r="AW10" s="4">
        <v>150</v>
      </c>
      <c r="AX10" s="4">
        <v>150</v>
      </c>
      <c r="AY10" s="4">
        <v>150</v>
      </c>
      <c r="AZ10" s="4">
        <v>150</v>
      </c>
      <c r="BA10" s="4">
        <v>150</v>
      </c>
      <c r="BB10" s="4">
        <v>150</v>
      </c>
    </row>
    <row r="11" spans="1:54" ht="17" thickBot="1" x14ac:dyDescent="0.25">
      <c r="A11" s="14" t="s">
        <v>5</v>
      </c>
      <c r="B11" s="9">
        <v>73</v>
      </c>
      <c r="C11" s="10">
        <v>19</v>
      </c>
      <c r="D11" s="10">
        <v>138</v>
      </c>
      <c r="E11" s="10">
        <v>113</v>
      </c>
      <c r="F11" s="10">
        <v>28</v>
      </c>
      <c r="G11" s="10">
        <v>32</v>
      </c>
      <c r="H11" s="10">
        <v>19</v>
      </c>
      <c r="I11" s="10">
        <v>76</v>
      </c>
      <c r="J11" s="10">
        <v>149</v>
      </c>
      <c r="K11" s="10">
        <v>108</v>
      </c>
      <c r="L11" s="10">
        <v>64</v>
      </c>
      <c r="M11" s="10">
        <v>118</v>
      </c>
      <c r="N11" s="10">
        <v>88</v>
      </c>
      <c r="O11" s="10">
        <v>42</v>
      </c>
      <c r="P11" s="10">
        <v>84</v>
      </c>
      <c r="Q11" s="10">
        <v>92</v>
      </c>
      <c r="R11" s="10">
        <v>46</v>
      </c>
      <c r="S11" s="10">
        <v>52</v>
      </c>
      <c r="T11" s="10">
        <v>12</v>
      </c>
      <c r="U11" s="10">
        <v>61</v>
      </c>
      <c r="V11" s="10">
        <v>142</v>
      </c>
      <c r="W11" s="10">
        <v>75</v>
      </c>
      <c r="X11" s="10">
        <v>92</v>
      </c>
      <c r="Y11" s="10">
        <v>58</v>
      </c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1"/>
    </row>
    <row r="12" spans="1:54" x14ac:dyDescent="0.2">
      <c r="A12" s="12" t="s">
        <v>10</v>
      </c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>
        <v>78</v>
      </c>
      <c r="AA12" s="6">
        <v>49</v>
      </c>
      <c r="AB12" s="6">
        <v>70</v>
      </c>
      <c r="AC12" s="6">
        <v>32</v>
      </c>
      <c r="AD12" s="6">
        <v>21</v>
      </c>
      <c r="AE12" s="6">
        <v>48</v>
      </c>
      <c r="AF12" s="6">
        <v>59</v>
      </c>
      <c r="AG12" s="6">
        <v>48</v>
      </c>
      <c r="AH12" s="6">
        <v>68</v>
      </c>
      <c r="AI12" s="6">
        <v>25</v>
      </c>
      <c r="AJ12" s="6">
        <v>5</v>
      </c>
      <c r="AK12" s="6">
        <v>6</v>
      </c>
      <c r="AL12" s="6">
        <v>56</v>
      </c>
      <c r="AM12" s="6">
        <v>5</v>
      </c>
      <c r="AN12" s="6">
        <v>72</v>
      </c>
      <c r="AO12" s="6">
        <v>45</v>
      </c>
      <c r="AP12" s="6">
        <v>26</v>
      </c>
      <c r="AQ12" s="6">
        <v>71</v>
      </c>
      <c r="AR12" s="6">
        <v>80</v>
      </c>
      <c r="AS12" s="6">
        <v>66</v>
      </c>
      <c r="AT12" s="6">
        <v>48</v>
      </c>
      <c r="AU12" s="6">
        <v>11</v>
      </c>
      <c r="AV12" s="6">
        <v>18</v>
      </c>
      <c r="AW12" s="6">
        <v>48</v>
      </c>
      <c r="AX12" s="6">
        <v>24</v>
      </c>
      <c r="AY12" s="6">
        <v>24</v>
      </c>
      <c r="AZ12" s="6">
        <v>40</v>
      </c>
      <c r="BA12" s="6">
        <v>50</v>
      </c>
      <c r="BB12" s="7">
        <v>7</v>
      </c>
    </row>
    <row r="13" spans="1:54" x14ac:dyDescent="0.2">
      <c r="A13" s="13" t="s">
        <v>6</v>
      </c>
      <c r="B13" s="8">
        <v>80</v>
      </c>
      <c r="C13" s="4">
        <v>80</v>
      </c>
      <c r="D13" s="4">
        <v>80</v>
      </c>
      <c r="E13" s="4">
        <v>80</v>
      </c>
      <c r="F13" s="4">
        <v>80</v>
      </c>
      <c r="G13" s="4">
        <v>80</v>
      </c>
      <c r="H13" s="4">
        <v>80</v>
      </c>
      <c r="I13" s="4">
        <v>80</v>
      </c>
      <c r="J13" s="4">
        <v>80</v>
      </c>
      <c r="K13" s="4">
        <v>80</v>
      </c>
      <c r="L13" s="4">
        <v>80</v>
      </c>
      <c r="M13" s="4">
        <v>80</v>
      </c>
      <c r="N13" s="4">
        <v>80</v>
      </c>
      <c r="O13" s="4">
        <v>80</v>
      </c>
      <c r="P13" s="4">
        <v>80</v>
      </c>
      <c r="Q13" s="4">
        <v>80</v>
      </c>
      <c r="R13" s="4">
        <v>80</v>
      </c>
      <c r="S13" s="4">
        <v>80</v>
      </c>
      <c r="T13" s="4">
        <v>80</v>
      </c>
      <c r="U13" s="4">
        <v>80</v>
      </c>
      <c r="V13" s="4">
        <v>80</v>
      </c>
      <c r="W13" s="4">
        <v>80</v>
      </c>
      <c r="X13" s="4">
        <v>80</v>
      </c>
      <c r="Y13" s="4">
        <v>80</v>
      </c>
      <c r="Z13" s="4">
        <v>80</v>
      </c>
      <c r="AA13" s="4">
        <v>80</v>
      </c>
      <c r="AB13" s="4">
        <v>80</v>
      </c>
      <c r="AC13" s="4">
        <v>80</v>
      </c>
      <c r="AD13" s="4">
        <v>80</v>
      </c>
      <c r="AE13" s="4">
        <v>80</v>
      </c>
      <c r="AF13" s="4">
        <v>80</v>
      </c>
      <c r="AG13" s="4">
        <v>80</v>
      </c>
      <c r="AH13" s="4">
        <v>80</v>
      </c>
      <c r="AI13" s="4">
        <v>80</v>
      </c>
      <c r="AJ13" s="4">
        <v>80</v>
      </c>
      <c r="AK13" s="4">
        <v>80</v>
      </c>
      <c r="AL13" s="4">
        <v>80</v>
      </c>
      <c r="AM13" s="4">
        <v>80</v>
      </c>
      <c r="AN13" s="4">
        <v>80</v>
      </c>
      <c r="AO13" s="4">
        <v>80</v>
      </c>
      <c r="AP13" s="4">
        <v>80</v>
      </c>
      <c r="AQ13" s="4">
        <v>80</v>
      </c>
      <c r="AR13" s="4">
        <v>80</v>
      </c>
      <c r="AS13" s="4">
        <v>80</v>
      </c>
      <c r="AT13" s="4">
        <v>80</v>
      </c>
      <c r="AU13" s="4">
        <v>80</v>
      </c>
      <c r="AV13" s="4">
        <v>80</v>
      </c>
      <c r="AW13" s="4">
        <v>80</v>
      </c>
      <c r="AX13" s="4">
        <v>80</v>
      </c>
      <c r="AY13" s="4">
        <v>80</v>
      </c>
      <c r="AZ13" s="4">
        <v>80</v>
      </c>
      <c r="BA13" s="4">
        <v>80</v>
      </c>
      <c r="BB13" s="4">
        <v>80</v>
      </c>
    </row>
    <row r="14" spans="1:54" ht="17" thickBot="1" x14ac:dyDescent="0.25">
      <c r="A14" s="14" t="s">
        <v>5</v>
      </c>
      <c r="B14" s="9">
        <v>79</v>
      </c>
      <c r="C14" s="10">
        <v>55</v>
      </c>
      <c r="D14" s="10">
        <v>4</v>
      </c>
      <c r="E14" s="10">
        <v>30</v>
      </c>
      <c r="F14" s="10">
        <v>38</v>
      </c>
      <c r="G14" s="10">
        <v>19</v>
      </c>
      <c r="H14" s="10">
        <v>29</v>
      </c>
      <c r="I14" s="10">
        <v>51</v>
      </c>
      <c r="J14" s="10">
        <v>44</v>
      </c>
      <c r="K14" s="10">
        <v>19</v>
      </c>
      <c r="L14" s="10">
        <v>19</v>
      </c>
      <c r="M14" s="10">
        <v>48</v>
      </c>
      <c r="N14" s="10">
        <v>10</v>
      </c>
      <c r="O14" s="10">
        <v>79</v>
      </c>
      <c r="P14" s="10">
        <v>74</v>
      </c>
      <c r="Q14" s="10">
        <v>63</v>
      </c>
      <c r="R14" s="10">
        <v>47</v>
      </c>
      <c r="S14" s="10">
        <v>18</v>
      </c>
      <c r="T14" s="10">
        <v>61</v>
      </c>
      <c r="U14" s="10">
        <v>67</v>
      </c>
      <c r="V14" s="10">
        <v>27</v>
      </c>
      <c r="W14" s="10">
        <v>48</v>
      </c>
      <c r="X14" s="10">
        <v>60</v>
      </c>
      <c r="Y14" s="10">
        <v>39</v>
      </c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1"/>
    </row>
    <row r="15" spans="1:54" x14ac:dyDescent="0.2">
      <c r="A15" s="12" t="s">
        <v>11</v>
      </c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>
        <v>65</v>
      </c>
      <c r="AA15" s="6">
        <v>9</v>
      </c>
      <c r="AB15" s="6">
        <v>51</v>
      </c>
      <c r="AC15" s="6">
        <v>27</v>
      </c>
      <c r="AD15" s="6">
        <v>9</v>
      </c>
      <c r="AE15" s="6">
        <v>86</v>
      </c>
      <c r="AF15" s="6">
        <v>97</v>
      </c>
      <c r="AG15" s="6">
        <v>24</v>
      </c>
      <c r="AH15" s="6">
        <v>31</v>
      </c>
      <c r="AI15" s="6">
        <v>26</v>
      </c>
      <c r="AJ15" s="6">
        <v>38</v>
      </c>
      <c r="AK15" s="6">
        <v>43</v>
      </c>
      <c r="AL15" s="6">
        <v>42</v>
      </c>
      <c r="AM15" s="6">
        <v>56</v>
      </c>
      <c r="AN15" s="6">
        <v>72</v>
      </c>
      <c r="AO15" s="6">
        <v>62</v>
      </c>
      <c r="AP15" s="6">
        <v>96</v>
      </c>
      <c r="AQ15" s="6">
        <v>9</v>
      </c>
      <c r="AR15" s="6">
        <v>14</v>
      </c>
      <c r="AS15" s="6">
        <v>75</v>
      </c>
      <c r="AT15" s="6">
        <v>6</v>
      </c>
      <c r="AU15" s="6">
        <v>52</v>
      </c>
      <c r="AV15" s="6">
        <v>83</v>
      </c>
      <c r="AW15" s="6">
        <v>0</v>
      </c>
      <c r="AX15" s="6">
        <v>71</v>
      </c>
      <c r="AY15" s="6">
        <v>76</v>
      </c>
      <c r="AZ15" s="6">
        <v>2</v>
      </c>
      <c r="BA15" s="6">
        <v>17</v>
      </c>
      <c r="BB15" s="7">
        <v>84</v>
      </c>
    </row>
    <row r="16" spans="1:54" x14ac:dyDescent="0.2">
      <c r="A16" s="13" t="s">
        <v>6</v>
      </c>
      <c r="B16" s="8">
        <v>100</v>
      </c>
      <c r="C16" s="4">
        <v>100</v>
      </c>
      <c r="D16" s="4">
        <v>100</v>
      </c>
      <c r="E16" s="4">
        <v>100</v>
      </c>
      <c r="F16" s="4">
        <v>100</v>
      </c>
      <c r="G16" s="4">
        <v>100</v>
      </c>
      <c r="H16" s="4">
        <v>100</v>
      </c>
      <c r="I16" s="4">
        <v>100</v>
      </c>
      <c r="J16" s="4">
        <v>100</v>
      </c>
      <c r="K16" s="4">
        <v>100</v>
      </c>
      <c r="L16" s="4">
        <v>100</v>
      </c>
      <c r="M16" s="4">
        <v>100</v>
      </c>
      <c r="N16" s="4">
        <v>100</v>
      </c>
      <c r="O16" s="4">
        <v>100</v>
      </c>
      <c r="P16" s="4">
        <v>100</v>
      </c>
      <c r="Q16" s="4">
        <v>100</v>
      </c>
      <c r="R16" s="4">
        <v>100</v>
      </c>
      <c r="S16" s="4">
        <v>100</v>
      </c>
      <c r="T16" s="4">
        <v>100</v>
      </c>
      <c r="U16" s="4">
        <v>100</v>
      </c>
      <c r="V16" s="4">
        <v>100</v>
      </c>
      <c r="W16" s="4">
        <v>100</v>
      </c>
      <c r="X16" s="4">
        <v>100</v>
      </c>
      <c r="Y16" s="4">
        <v>100</v>
      </c>
      <c r="Z16" s="4">
        <v>100</v>
      </c>
      <c r="AA16" s="4">
        <v>100</v>
      </c>
      <c r="AB16" s="4">
        <v>100</v>
      </c>
      <c r="AC16" s="4">
        <v>100</v>
      </c>
      <c r="AD16" s="4">
        <v>100</v>
      </c>
      <c r="AE16" s="4">
        <v>100</v>
      </c>
      <c r="AF16" s="4">
        <v>100</v>
      </c>
      <c r="AG16" s="4">
        <v>100</v>
      </c>
      <c r="AH16" s="4">
        <v>100</v>
      </c>
      <c r="AI16" s="4">
        <v>100</v>
      </c>
      <c r="AJ16" s="4">
        <v>100</v>
      </c>
      <c r="AK16" s="4">
        <v>100</v>
      </c>
      <c r="AL16" s="4">
        <v>100</v>
      </c>
      <c r="AM16" s="4">
        <v>100</v>
      </c>
      <c r="AN16" s="4">
        <v>100</v>
      </c>
      <c r="AO16" s="4">
        <v>100</v>
      </c>
      <c r="AP16" s="4">
        <v>100</v>
      </c>
      <c r="AQ16" s="4">
        <v>100</v>
      </c>
      <c r="AR16" s="4">
        <v>100</v>
      </c>
      <c r="AS16" s="4">
        <v>100</v>
      </c>
      <c r="AT16" s="4">
        <v>100</v>
      </c>
      <c r="AU16" s="4">
        <v>100</v>
      </c>
      <c r="AV16" s="4">
        <v>100</v>
      </c>
      <c r="AW16" s="4">
        <v>100</v>
      </c>
      <c r="AX16" s="4">
        <v>100</v>
      </c>
      <c r="AY16" s="4">
        <v>100</v>
      </c>
      <c r="AZ16" s="4">
        <v>100</v>
      </c>
      <c r="BA16" s="4">
        <v>100</v>
      </c>
      <c r="BB16" s="4">
        <v>100</v>
      </c>
    </row>
    <row r="17" spans="1:54" ht="17" thickBot="1" x14ac:dyDescent="0.25">
      <c r="A17" s="14" t="s">
        <v>5</v>
      </c>
      <c r="B17" s="9">
        <v>49</v>
      </c>
      <c r="C17" s="10">
        <v>84</v>
      </c>
      <c r="D17" s="10">
        <v>19</v>
      </c>
      <c r="E17" s="10">
        <v>78</v>
      </c>
      <c r="F17" s="10">
        <v>24</v>
      </c>
      <c r="G17" s="10">
        <v>66</v>
      </c>
      <c r="H17" s="10">
        <v>40</v>
      </c>
      <c r="I17" s="10">
        <v>61</v>
      </c>
      <c r="J17" s="10">
        <v>17</v>
      </c>
      <c r="K17" s="10">
        <v>90</v>
      </c>
      <c r="L17" s="10">
        <v>43</v>
      </c>
      <c r="M17" s="10">
        <v>42</v>
      </c>
      <c r="N17" s="10">
        <v>94</v>
      </c>
      <c r="O17" s="10">
        <v>51</v>
      </c>
      <c r="P17" s="10">
        <v>70</v>
      </c>
      <c r="Q17" s="10">
        <v>29</v>
      </c>
      <c r="R17" s="10">
        <v>23</v>
      </c>
      <c r="S17" s="10">
        <v>1</v>
      </c>
      <c r="T17" s="10">
        <v>96</v>
      </c>
      <c r="U17" s="10">
        <v>82</v>
      </c>
      <c r="V17" s="10">
        <v>23</v>
      </c>
      <c r="W17" s="10">
        <v>94</v>
      </c>
      <c r="X17" s="10">
        <v>95</v>
      </c>
      <c r="Y17" s="10">
        <v>74</v>
      </c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1"/>
    </row>
    <row r="18" spans="1:54" x14ac:dyDescent="0.2">
      <c r="A18" s="17" t="s">
        <v>12</v>
      </c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>
        <v>82</v>
      </c>
      <c r="AA18" s="6">
        <v>34</v>
      </c>
      <c r="AB18" s="6">
        <v>42</v>
      </c>
      <c r="AC18" s="6">
        <v>81</v>
      </c>
      <c r="AD18" s="6">
        <v>73</v>
      </c>
      <c r="AE18" s="6">
        <v>16</v>
      </c>
      <c r="AF18" s="6">
        <v>48</v>
      </c>
      <c r="AG18" s="6">
        <v>31</v>
      </c>
      <c r="AH18" s="6">
        <v>75</v>
      </c>
      <c r="AI18" s="6">
        <v>38</v>
      </c>
      <c r="AJ18" s="6">
        <v>31</v>
      </c>
      <c r="AK18" s="6">
        <v>26</v>
      </c>
      <c r="AL18" s="6">
        <v>90</v>
      </c>
      <c r="AM18" s="6">
        <v>35</v>
      </c>
      <c r="AN18" s="6">
        <v>39</v>
      </c>
      <c r="AO18" s="6">
        <v>20</v>
      </c>
      <c r="AP18" s="6">
        <v>92</v>
      </c>
      <c r="AQ18" s="6">
        <v>99</v>
      </c>
      <c r="AR18" s="6">
        <v>42</v>
      </c>
      <c r="AS18" s="6">
        <v>100</v>
      </c>
      <c r="AT18" s="6">
        <v>32</v>
      </c>
      <c r="AU18" s="6">
        <v>45</v>
      </c>
      <c r="AV18" s="6">
        <v>95</v>
      </c>
      <c r="AW18" s="6">
        <v>56</v>
      </c>
      <c r="AX18" s="6">
        <v>80</v>
      </c>
      <c r="AY18" s="6">
        <v>95</v>
      </c>
      <c r="AZ18" s="6">
        <v>52</v>
      </c>
      <c r="BA18" s="6">
        <v>84</v>
      </c>
      <c r="BB18" s="7">
        <v>56</v>
      </c>
    </row>
    <row r="19" spans="1:54" x14ac:dyDescent="0.2">
      <c r="A19" s="18" t="s">
        <v>6</v>
      </c>
      <c r="B19" s="8">
        <v>100</v>
      </c>
      <c r="C19" s="4">
        <v>100</v>
      </c>
      <c r="D19" s="4">
        <v>100</v>
      </c>
      <c r="E19" s="4">
        <v>100</v>
      </c>
      <c r="F19" s="4">
        <v>100</v>
      </c>
      <c r="G19" s="4">
        <v>100</v>
      </c>
      <c r="H19" s="4">
        <v>100</v>
      </c>
      <c r="I19" s="4">
        <v>100</v>
      </c>
      <c r="J19" s="4">
        <v>100</v>
      </c>
      <c r="K19" s="4">
        <v>100</v>
      </c>
      <c r="L19" s="4">
        <v>100</v>
      </c>
      <c r="M19" s="4">
        <v>100</v>
      </c>
      <c r="N19" s="4">
        <v>100</v>
      </c>
      <c r="O19" s="4">
        <v>100</v>
      </c>
      <c r="P19" s="4">
        <v>100</v>
      </c>
      <c r="Q19" s="4">
        <v>100</v>
      </c>
      <c r="R19" s="4">
        <v>100</v>
      </c>
      <c r="S19" s="4">
        <v>100</v>
      </c>
      <c r="T19" s="4">
        <v>100</v>
      </c>
      <c r="U19" s="4">
        <v>100</v>
      </c>
      <c r="V19" s="4">
        <v>100</v>
      </c>
      <c r="W19" s="4">
        <v>100</v>
      </c>
      <c r="X19" s="4">
        <v>100</v>
      </c>
      <c r="Y19" s="4">
        <v>100</v>
      </c>
      <c r="Z19" s="4">
        <v>100</v>
      </c>
      <c r="AA19" s="4">
        <v>100</v>
      </c>
      <c r="AB19" s="4">
        <v>100</v>
      </c>
      <c r="AC19" s="4">
        <v>100</v>
      </c>
      <c r="AD19" s="4">
        <v>100</v>
      </c>
      <c r="AE19" s="4">
        <v>100</v>
      </c>
      <c r="AF19" s="4">
        <v>100</v>
      </c>
      <c r="AG19" s="4">
        <v>100</v>
      </c>
      <c r="AH19" s="4">
        <v>100</v>
      </c>
      <c r="AI19" s="4">
        <v>100</v>
      </c>
      <c r="AJ19" s="4">
        <v>100</v>
      </c>
      <c r="AK19" s="4">
        <v>100</v>
      </c>
      <c r="AL19" s="4">
        <v>100</v>
      </c>
      <c r="AM19" s="4">
        <v>100</v>
      </c>
      <c r="AN19" s="4">
        <v>100</v>
      </c>
      <c r="AO19" s="4">
        <v>100</v>
      </c>
      <c r="AP19" s="4">
        <v>100</v>
      </c>
      <c r="AQ19" s="4">
        <v>100</v>
      </c>
      <c r="AR19" s="4">
        <v>100</v>
      </c>
      <c r="AS19" s="4">
        <v>100</v>
      </c>
      <c r="AT19" s="4">
        <v>100</v>
      </c>
      <c r="AU19" s="4">
        <v>100</v>
      </c>
      <c r="AV19" s="4">
        <v>100</v>
      </c>
      <c r="AW19" s="4">
        <v>100</v>
      </c>
      <c r="AX19" s="4">
        <v>100</v>
      </c>
      <c r="AY19" s="4">
        <v>100</v>
      </c>
      <c r="AZ19" s="4">
        <v>100</v>
      </c>
      <c r="BA19" s="4">
        <v>100</v>
      </c>
      <c r="BB19" s="4">
        <v>100</v>
      </c>
    </row>
    <row r="20" spans="1:54" ht="17" thickBot="1" x14ac:dyDescent="0.25">
      <c r="A20" s="19" t="s">
        <v>5</v>
      </c>
      <c r="B20" s="9">
        <v>54</v>
      </c>
      <c r="C20" s="10">
        <v>60</v>
      </c>
      <c r="D20" s="10">
        <v>12</v>
      </c>
      <c r="E20" s="10">
        <v>87</v>
      </c>
      <c r="F20" s="10">
        <v>34</v>
      </c>
      <c r="G20" s="10">
        <v>68</v>
      </c>
      <c r="H20" s="10">
        <v>69</v>
      </c>
      <c r="I20" s="10">
        <v>59</v>
      </c>
      <c r="J20" s="10">
        <v>79</v>
      </c>
      <c r="K20" s="10">
        <v>58</v>
      </c>
      <c r="L20" s="10">
        <v>8</v>
      </c>
      <c r="M20" s="10">
        <v>19</v>
      </c>
      <c r="N20" s="10">
        <v>23</v>
      </c>
      <c r="O20" s="10">
        <v>4</v>
      </c>
      <c r="P20" s="10">
        <v>88</v>
      </c>
      <c r="Q20" s="10">
        <v>65</v>
      </c>
      <c r="R20" s="10">
        <v>61</v>
      </c>
      <c r="S20" s="10">
        <v>30</v>
      </c>
      <c r="T20" s="10">
        <v>3</v>
      </c>
      <c r="U20" s="10">
        <v>7</v>
      </c>
      <c r="V20" s="10">
        <v>5</v>
      </c>
      <c r="W20" s="10">
        <v>20</v>
      </c>
      <c r="X20" s="10">
        <v>62</v>
      </c>
      <c r="Y20" s="10">
        <v>90</v>
      </c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1"/>
    </row>
    <row r="21" spans="1:54" ht="17" thickBot="1" x14ac:dyDescent="0.25">
      <c r="A21" s="16" t="s">
        <v>14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</row>
    <row r="22" spans="1:54" ht="17" thickBot="1" x14ac:dyDescent="0.25">
      <c r="A22" s="15" t="s">
        <v>15</v>
      </c>
    </row>
    <row r="23" spans="1:54" ht="17" thickBot="1" x14ac:dyDescent="0.25">
      <c r="A23" s="12" t="s">
        <v>7</v>
      </c>
      <c r="B23" s="29">
        <f t="shared" ref="B23:AG23" si="0">B5/B4</f>
        <v>0.66</v>
      </c>
      <c r="C23" s="30">
        <f t="shared" si="0"/>
        <v>0.7</v>
      </c>
      <c r="D23" s="30">
        <f t="shared" si="0"/>
        <v>0.03</v>
      </c>
      <c r="E23" s="30">
        <f t="shared" si="0"/>
        <v>0.54</v>
      </c>
      <c r="F23" s="30">
        <f t="shared" si="0"/>
        <v>1</v>
      </c>
      <c r="G23" s="30">
        <f t="shared" si="0"/>
        <v>0.68</v>
      </c>
      <c r="H23" s="30">
        <f t="shared" si="0"/>
        <v>0.02</v>
      </c>
      <c r="I23" s="30">
        <f t="shared" si="0"/>
        <v>0.05</v>
      </c>
      <c r="J23" s="30">
        <f t="shared" si="0"/>
        <v>0.42</v>
      </c>
      <c r="K23" s="30">
        <f t="shared" si="0"/>
        <v>0.77</v>
      </c>
      <c r="L23" s="30">
        <f t="shared" si="0"/>
        <v>0.43</v>
      </c>
      <c r="M23" s="30">
        <f t="shared" si="0"/>
        <v>0.88</v>
      </c>
      <c r="N23" s="30">
        <f t="shared" si="0"/>
        <v>0.28999999999999998</v>
      </c>
      <c r="O23" s="30">
        <f t="shared" si="0"/>
        <v>0.47</v>
      </c>
      <c r="P23" s="30">
        <f t="shared" si="0"/>
        <v>0.88</v>
      </c>
      <c r="Q23" s="30">
        <f t="shared" si="0"/>
        <v>0.26</v>
      </c>
      <c r="R23" s="30">
        <f t="shared" si="0"/>
        <v>0.98</v>
      </c>
      <c r="S23" s="30">
        <f t="shared" si="0"/>
        <v>0.55000000000000004</v>
      </c>
      <c r="T23" s="30">
        <f t="shared" si="0"/>
        <v>0.88</v>
      </c>
      <c r="U23" s="30">
        <f t="shared" si="0"/>
        <v>0.71</v>
      </c>
      <c r="V23" s="30">
        <f t="shared" si="0"/>
        <v>0.88</v>
      </c>
      <c r="W23" s="30">
        <f t="shared" si="0"/>
        <v>0.77</v>
      </c>
      <c r="X23" s="30">
        <f t="shared" si="0"/>
        <v>0.31</v>
      </c>
      <c r="Y23" s="30">
        <f t="shared" si="0"/>
        <v>0.68</v>
      </c>
      <c r="Z23" s="30">
        <f t="shared" si="0"/>
        <v>0</v>
      </c>
      <c r="AA23" s="30">
        <f t="shared" si="0"/>
        <v>0</v>
      </c>
      <c r="AB23" s="30">
        <f t="shared" si="0"/>
        <v>0</v>
      </c>
      <c r="AC23" s="30">
        <f t="shared" si="0"/>
        <v>0</v>
      </c>
      <c r="AD23" s="30">
        <f t="shared" si="0"/>
        <v>0</v>
      </c>
      <c r="AE23" s="30">
        <f t="shared" si="0"/>
        <v>0</v>
      </c>
      <c r="AF23" s="30">
        <f t="shared" si="0"/>
        <v>0</v>
      </c>
      <c r="AG23" s="30">
        <f t="shared" si="0"/>
        <v>0</v>
      </c>
      <c r="AH23" s="30">
        <f t="shared" ref="AH23:BB23" si="1">AH5/AH4</f>
        <v>0</v>
      </c>
      <c r="AI23" s="30">
        <f t="shared" si="1"/>
        <v>0</v>
      </c>
      <c r="AJ23" s="30">
        <f t="shared" si="1"/>
        <v>0</v>
      </c>
      <c r="AK23" s="30">
        <f t="shared" si="1"/>
        <v>0</v>
      </c>
      <c r="AL23" s="30">
        <f t="shared" si="1"/>
        <v>0</v>
      </c>
      <c r="AM23" s="30">
        <f t="shared" si="1"/>
        <v>0</v>
      </c>
      <c r="AN23" s="30">
        <f t="shared" si="1"/>
        <v>0</v>
      </c>
      <c r="AO23" s="30">
        <f t="shared" si="1"/>
        <v>0</v>
      </c>
      <c r="AP23" s="30">
        <f t="shared" si="1"/>
        <v>0</v>
      </c>
      <c r="AQ23" s="30">
        <f t="shared" si="1"/>
        <v>0</v>
      </c>
      <c r="AR23" s="30">
        <f t="shared" si="1"/>
        <v>0</v>
      </c>
      <c r="AS23" s="30">
        <f t="shared" si="1"/>
        <v>0</v>
      </c>
      <c r="AT23" s="30">
        <f t="shared" si="1"/>
        <v>0</v>
      </c>
      <c r="AU23" s="30">
        <f t="shared" si="1"/>
        <v>0</v>
      </c>
      <c r="AV23" s="30">
        <f t="shared" si="1"/>
        <v>0</v>
      </c>
      <c r="AW23" s="30">
        <f t="shared" si="1"/>
        <v>0</v>
      </c>
      <c r="AX23" s="30">
        <f t="shared" si="1"/>
        <v>0</v>
      </c>
      <c r="AY23" s="30">
        <f t="shared" si="1"/>
        <v>0</v>
      </c>
      <c r="AZ23" s="30">
        <f t="shared" si="1"/>
        <v>0</v>
      </c>
      <c r="BA23" s="30">
        <f t="shared" si="1"/>
        <v>0</v>
      </c>
      <c r="BB23" s="31">
        <f t="shared" si="1"/>
        <v>0</v>
      </c>
    </row>
    <row r="24" spans="1:54" ht="17" thickBot="1" x14ac:dyDescent="0.25">
      <c r="A24" s="12" t="s">
        <v>8</v>
      </c>
      <c r="B24" s="32">
        <f t="shared" ref="B24:AG24" si="2">B8/B7</f>
        <v>0.55500000000000005</v>
      </c>
      <c r="C24" s="33">
        <f t="shared" si="2"/>
        <v>0.89</v>
      </c>
      <c r="D24" s="33">
        <f t="shared" si="2"/>
        <v>0.16500000000000001</v>
      </c>
      <c r="E24" s="33">
        <f t="shared" si="2"/>
        <v>0.92</v>
      </c>
      <c r="F24" s="33">
        <f t="shared" si="2"/>
        <v>0.255</v>
      </c>
      <c r="G24" s="33">
        <f t="shared" si="2"/>
        <v>6.5000000000000002E-2</v>
      </c>
      <c r="H24" s="33">
        <f t="shared" si="2"/>
        <v>0.61</v>
      </c>
      <c r="I24" s="33">
        <f t="shared" si="2"/>
        <v>0.67500000000000004</v>
      </c>
      <c r="J24" s="33">
        <f t="shared" si="2"/>
        <v>0.5</v>
      </c>
      <c r="K24" s="33">
        <f t="shared" si="2"/>
        <v>0.32</v>
      </c>
      <c r="L24" s="33">
        <f t="shared" si="2"/>
        <v>0.82</v>
      </c>
      <c r="M24" s="33">
        <f t="shared" si="2"/>
        <v>0.46</v>
      </c>
      <c r="N24" s="33">
        <f t="shared" si="2"/>
        <v>0.89500000000000002</v>
      </c>
      <c r="O24" s="33">
        <f t="shared" si="2"/>
        <v>0.88</v>
      </c>
      <c r="P24" s="33">
        <f t="shared" si="2"/>
        <v>0.26</v>
      </c>
      <c r="Q24" s="33">
        <f t="shared" si="2"/>
        <v>0.67500000000000004</v>
      </c>
      <c r="R24" s="33">
        <f t="shared" si="2"/>
        <v>0.36499999999999999</v>
      </c>
      <c r="S24" s="33">
        <f t="shared" si="2"/>
        <v>2.5000000000000001E-2</v>
      </c>
      <c r="T24" s="33">
        <f t="shared" si="2"/>
        <v>0.26</v>
      </c>
      <c r="U24" s="33">
        <f t="shared" si="2"/>
        <v>0.32500000000000001</v>
      </c>
      <c r="V24" s="33">
        <f t="shared" si="2"/>
        <v>0.11</v>
      </c>
      <c r="W24" s="33">
        <f t="shared" si="2"/>
        <v>0.46</v>
      </c>
      <c r="X24" s="33">
        <f t="shared" si="2"/>
        <v>0.71499999999999997</v>
      </c>
      <c r="Y24" s="33">
        <f t="shared" si="2"/>
        <v>0.64500000000000002</v>
      </c>
      <c r="Z24" s="33">
        <f t="shared" si="2"/>
        <v>0</v>
      </c>
      <c r="AA24" s="33">
        <f t="shared" si="2"/>
        <v>0</v>
      </c>
      <c r="AB24" s="33">
        <f t="shared" si="2"/>
        <v>0</v>
      </c>
      <c r="AC24" s="33">
        <f t="shared" si="2"/>
        <v>0</v>
      </c>
      <c r="AD24" s="33">
        <f t="shared" si="2"/>
        <v>0</v>
      </c>
      <c r="AE24" s="33">
        <f t="shared" si="2"/>
        <v>0</v>
      </c>
      <c r="AF24" s="33">
        <f t="shared" si="2"/>
        <v>0</v>
      </c>
      <c r="AG24" s="33">
        <f t="shared" si="2"/>
        <v>0</v>
      </c>
      <c r="AH24" s="33">
        <f t="shared" ref="AH24:BB24" si="3">AH8/AH7</f>
        <v>0</v>
      </c>
      <c r="AI24" s="33">
        <f t="shared" si="3"/>
        <v>0</v>
      </c>
      <c r="AJ24" s="33">
        <f t="shared" si="3"/>
        <v>0</v>
      </c>
      <c r="AK24" s="33">
        <f t="shared" si="3"/>
        <v>0</v>
      </c>
      <c r="AL24" s="33">
        <f t="shared" si="3"/>
        <v>0</v>
      </c>
      <c r="AM24" s="33">
        <f t="shared" si="3"/>
        <v>0</v>
      </c>
      <c r="AN24" s="33">
        <f t="shared" si="3"/>
        <v>0</v>
      </c>
      <c r="AO24" s="33">
        <f t="shared" si="3"/>
        <v>0</v>
      </c>
      <c r="AP24" s="33">
        <f t="shared" si="3"/>
        <v>0</v>
      </c>
      <c r="AQ24" s="33">
        <f t="shared" si="3"/>
        <v>0</v>
      </c>
      <c r="AR24" s="33">
        <f t="shared" si="3"/>
        <v>0</v>
      </c>
      <c r="AS24" s="33">
        <f t="shared" si="3"/>
        <v>0</v>
      </c>
      <c r="AT24" s="33">
        <f t="shared" si="3"/>
        <v>0</v>
      </c>
      <c r="AU24" s="33">
        <f t="shared" si="3"/>
        <v>0</v>
      </c>
      <c r="AV24" s="33">
        <f t="shared" si="3"/>
        <v>0</v>
      </c>
      <c r="AW24" s="33">
        <f t="shared" si="3"/>
        <v>0</v>
      </c>
      <c r="AX24" s="33">
        <f t="shared" si="3"/>
        <v>0</v>
      </c>
      <c r="AY24" s="33">
        <f t="shared" si="3"/>
        <v>0</v>
      </c>
      <c r="AZ24" s="33">
        <f t="shared" si="3"/>
        <v>0</v>
      </c>
      <c r="BA24" s="33">
        <f t="shared" si="3"/>
        <v>0</v>
      </c>
      <c r="BB24" s="34">
        <f t="shared" si="3"/>
        <v>0</v>
      </c>
    </row>
    <row r="25" spans="1:54" ht="17" thickBot="1" x14ac:dyDescent="0.25">
      <c r="A25" s="12" t="s">
        <v>9</v>
      </c>
      <c r="B25" s="32">
        <f t="shared" ref="B25:AG25" si="4">B11/B10</f>
        <v>0.48666666666666669</v>
      </c>
      <c r="C25" s="33">
        <f t="shared" si="4"/>
        <v>0.12666666666666668</v>
      </c>
      <c r="D25" s="33">
        <f t="shared" si="4"/>
        <v>0.92</v>
      </c>
      <c r="E25" s="33">
        <f t="shared" si="4"/>
        <v>0.7533333333333333</v>
      </c>
      <c r="F25" s="33">
        <f t="shared" si="4"/>
        <v>0.18666666666666668</v>
      </c>
      <c r="G25" s="33">
        <f t="shared" si="4"/>
        <v>0.21333333333333335</v>
      </c>
      <c r="H25" s="33">
        <f t="shared" si="4"/>
        <v>0.12666666666666668</v>
      </c>
      <c r="I25" s="33">
        <f t="shared" si="4"/>
        <v>0.50666666666666671</v>
      </c>
      <c r="J25" s="33">
        <f t="shared" si="4"/>
        <v>0.99333333333333329</v>
      </c>
      <c r="K25" s="33">
        <f t="shared" si="4"/>
        <v>0.72</v>
      </c>
      <c r="L25" s="33">
        <f t="shared" si="4"/>
        <v>0.42666666666666669</v>
      </c>
      <c r="M25" s="33">
        <f t="shared" si="4"/>
        <v>0.78666666666666663</v>
      </c>
      <c r="N25" s="33">
        <f t="shared" si="4"/>
        <v>0.58666666666666667</v>
      </c>
      <c r="O25" s="33">
        <f t="shared" si="4"/>
        <v>0.28000000000000003</v>
      </c>
      <c r="P25" s="33">
        <f t="shared" si="4"/>
        <v>0.56000000000000005</v>
      </c>
      <c r="Q25" s="33">
        <f t="shared" si="4"/>
        <v>0.61333333333333329</v>
      </c>
      <c r="R25" s="33">
        <f t="shared" si="4"/>
        <v>0.30666666666666664</v>
      </c>
      <c r="S25" s="33">
        <f t="shared" si="4"/>
        <v>0.34666666666666668</v>
      </c>
      <c r="T25" s="33">
        <f t="shared" si="4"/>
        <v>0.08</v>
      </c>
      <c r="U25" s="33">
        <f t="shared" si="4"/>
        <v>0.40666666666666668</v>
      </c>
      <c r="V25" s="33">
        <f t="shared" si="4"/>
        <v>0.94666666666666666</v>
      </c>
      <c r="W25" s="33">
        <f t="shared" si="4"/>
        <v>0.5</v>
      </c>
      <c r="X25" s="33">
        <f t="shared" si="4"/>
        <v>0.61333333333333329</v>
      </c>
      <c r="Y25" s="33">
        <f t="shared" si="4"/>
        <v>0.38666666666666666</v>
      </c>
      <c r="Z25" s="33">
        <f t="shared" si="4"/>
        <v>0</v>
      </c>
      <c r="AA25" s="33">
        <f t="shared" si="4"/>
        <v>0</v>
      </c>
      <c r="AB25" s="33">
        <f t="shared" si="4"/>
        <v>0</v>
      </c>
      <c r="AC25" s="33">
        <f t="shared" si="4"/>
        <v>0</v>
      </c>
      <c r="AD25" s="33">
        <f t="shared" si="4"/>
        <v>0</v>
      </c>
      <c r="AE25" s="33">
        <f t="shared" si="4"/>
        <v>0</v>
      </c>
      <c r="AF25" s="33">
        <f t="shared" si="4"/>
        <v>0</v>
      </c>
      <c r="AG25" s="33">
        <f t="shared" si="4"/>
        <v>0</v>
      </c>
      <c r="AH25" s="33">
        <f t="shared" ref="AH25:BB25" si="5">AH11/AH10</f>
        <v>0</v>
      </c>
      <c r="AI25" s="33">
        <f t="shared" si="5"/>
        <v>0</v>
      </c>
      <c r="AJ25" s="33">
        <f t="shared" si="5"/>
        <v>0</v>
      </c>
      <c r="AK25" s="33">
        <f t="shared" si="5"/>
        <v>0</v>
      </c>
      <c r="AL25" s="33">
        <f t="shared" si="5"/>
        <v>0</v>
      </c>
      <c r="AM25" s="33">
        <f t="shared" si="5"/>
        <v>0</v>
      </c>
      <c r="AN25" s="33">
        <f t="shared" si="5"/>
        <v>0</v>
      </c>
      <c r="AO25" s="33">
        <f t="shared" si="5"/>
        <v>0</v>
      </c>
      <c r="AP25" s="33">
        <f t="shared" si="5"/>
        <v>0</v>
      </c>
      <c r="AQ25" s="33">
        <f t="shared" si="5"/>
        <v>0</v>
      </c>
      <c r="AR25" s="33">
        <f t="shared" si="5"/>
        <v>0</v>
      </c>
      <c r="AS25" s="33">
        <f t="shared" si="5"/>
        <v>0</v>
      </c>
      <c r="AT25" s="33">
        <f t="shared" si="5"/>
        <v>0</v>
      </c>
      <c r="AU25" s="33">
        <f t="shared" si="5"/>
        <v>0</v>
      </c>
      <c r="AV25" s="33">
        <f t="shared" si="5"/>
        <v>0</v>
      </c>
      <c r="AW25" s="33">
        <f t="shared" si="5"/>
        <v>0</v>
      </c>
      <c r="AX25" s="33">
        <f t="shared" si="5"/>
        <v>0</v>
      </c>
      <c r="AY25" s="33">
        <f t="shared" si="5"/>
        <v>0</v>
      </c>
      <c r="AZ25" s="33">
        <f t="shared" si="5"/>
        <v>0</v>
      </c>
      <c r="BA25" s="33">
        <f t="shared" si="5"/>
        <v>0</v>
      </c>
      <c r="BB25" s="34">
        <f t="shared" si="5"/>
        <v>0</v>
      </c>
    </row>
    <row r="26" spans="1:54" ht="17" thickBot="1" x14ac:dyDescent="0.25">
      <c r="A26" s="12" t="s">
        <v>10</v>
      </c>
      <c r="B26" s="32">
        <f t="shared" ref="B26:AG26" si="6">B14/B13</f>
        <v>0.98750000000000004</v>
      </c>
      <c r="C26" s="33">
        <f t="shared" si="6"/>
        <v>0.6875</v>
      </c>
      <c r="D26" s="33">
        <f t="shared" si="6"/>
        <v>0.05</v>
      </c>
      <c r="E26" s="33">
        <f t="shared" si="6"/>
        <v>0.375</v>
      </c>
      <c r="F26" s="33">
        <f t="shared" si="6"/>
        <v>0.47499999999999998</v>
      </c>
      <c r="G26" s="33">
        <f t="shared" si="6"/>
        <v>0.23749999999999999</v>
      </c>
      <c r="H26" s="33">
        <f t="shared" si="6"/>
        <v>0.36249999999999999</v>
      </c>
      <c r="I26" s="33">
        <f t="shared" si="6"/>
        <v>0.63749999999999996</v>
      </c>
      <c r="J26" s="33">
        <f t="shared" si="6"/>
        <v>0.55000000000000004</v>
      </c>
      <c r="K26" s="33">
        <f t="shared" si="6"/>
        <v>0.23749999999999999</v>
      </c>
      <c r="L26" s="33">
        <f t="shared" si="6"/>
        <v>0.23749999999999999</v>
      </c>
      <c r="M26" s="33">
        <f t="shared" si="6"/>
        <v>0.6</v>
      </c>
      <c r="N26" s="33">
        <f t="shared" si="6"/>
        <v>0.125</v>
      </c>
      <c r="O26" s="33">
        <f t="shared" si="6"/>
        <v>0.98750000000000004</v>
      </c>
      <c r="P26" s="33">
        <f t="shared" si="6"/>
        <v>0.92500000000000004</v>
      </c>
      <c r="Q26" s="33">
        <f t="shared" si="6"/>
        <v>0.78749999999999998</v>
      </c>
      <c r="R26" s="33">
        <f t="shared" si="6"/>
        <v>0.58750000000000002</v>
      </c>
      <c r="S26" s="33">
        <f t="shared" si="6"/>
        <v>0.22500000000000001</v>
      </c>
      <c r="T26" s="33">
        <f t="shared" si="6"/>
        <v>0.76249999999999996</v>
      </c>
      <c r="U26" s="33">
        <f t="shared" si="6"/>
        <v>0.83750000000000002</v>
      </c>
      <c r="V26" s="33">
        <f t="shared" si="6"/>
        <v>0.33750000000000002</v>
      </c>
      <c r="W26" s="33">
        <f t="shared" si="6"/>
        <v>0.6</v>
      </c>
      <c r="X26" s="33">
        <f t="shared" si="6"/>
        <v>0.75</v>
      </c>
      <c r="Y26" s="33">
        <f t="shared" si="6"/>
        <v>0.48749999999999999</v>
      </c>
      <c r="Z26" s="33">
        <f t="shared" si="6"/>
        <v>0</v>
      </c>
      <c r="AA26" s="33">
        <f t="shared" si="6"/>
        <v>0</v>
      </c>
      <c r="AB26" s="33">
        <f t="shared" si="6"/>
        <v>0</v>
      </c>
      <c r="AC26" s="33">
        <f t="shared" si="6"/>
        <v>0</v>
      </c>
      <c r="AD26" s="33">
        <f t="shared" si="6"/>
        <v>0</v>
      </c>
      <c r="AE26" s="33">
        <f t="shared" si="6"/>
        <v>0</v>
      </c>
      <c r="AF26" s="33">
        <f t="shared" si="6"/>
        <v>0</v>
      </c>
      <c r="AG26" s="33">
        <f t="shared" si="6"/>
        <v>0</v>
      </c>
      <c r="AH26" s="33">
        <f t="shared" ref="AH26:BB26" si="7">AH14/AH13</f>
        <v>0</v>
      </c>
      <c r="AI26" s="33">
        <f t="shared" si="7"/>
        <v>0</v>
      </c>
      <c r="AJ26" s="33">
        <f t="shared" si="7"/>
        <v>0</v>
      </c>
      <c r="AK26" s="33">
        <f t="shared" si="7"/>
        <v>0</v>
      </c>
      <c r="AL26" s="33">
        <f t="shared" si="7"/>
        <v>0</v>
      </c>
      <c r="AM26" s="33">
        <f t="shared" si="7"/>
        <v>0</v>
      </c>
      <c r="AN26" s="33">
        <f t="shared" si="7"/>
        <v>0</v>
      </c>
      <c r="AO26" s="33">
        <f t="shared" si="7"/>
        <v>0</v>
      </c>
      <c r="AP26" s="33">
        <f t="shared" si="7"/>
        <v>0</v>
      </c>
      <c r="AQ26" s="33">
        <f t="shared" si="7"/>
        <v>0</v>
      </c>
      <c r="AR26" s="33">
        <f t="shared" si="7"/>
        <v>0</v>
      </c>
      <c r="AS26" s="33">
        <f t="shared" si="7"/>
        <v>0</v>
      </c>
      <c r="AT26" s="33">
        <f t="shared" si="7"/>
        <v>0</v>
      </c>
      <c r="AU26" s="33">
        <f t="shared" si="7"/>
        <v>0</v>
      </c>
      <c r="AV26" s="33">
        <f t="shared" si="7"/>
        <v>0</v>
      </c>
      <c r="AW26" s="33">
        <f t="shared" si="7"/>
        <v>0</v>
      </c>
      <c r="AX26" s="33">
        <f t="shared" si="7"/>
        <v>0</v>
      </c>
      <c r="AY26" s="33">
        <f t="shared" si="7"/>
        <v>0</v>
      </c>
      <c r="AZ26" s="33">
        <f t="shared" si="7"/>
        <v>0</v>
      </c>
      <c r="BA26" s="33">
        <f t="shared" si="7"/>
        <v>0</v>
      </c>
      <c r="BB26" s="34">
        <f t="shared" si="7"/>
        <v>0</v>
      </c>
    </row>
    <row r="27" spans="1:54" ht="17" thickBot="1" x14ac:dyDescent="0.25">
      <c r="A27" s="12" t="s">
        <v>11</v>
      </c>
      <c r="B27" s="32">
        <f t="shared" ref="B27:AG27" si="8">B17/B16</f>
        <v>0.49</v>
      </c>
      <c r="C27" s="33">
        <f t="shared" si="8"/>
        <v>0.84</v>
      </c>
      <c r="D27" s="33">
        <f t="shared" si="8"/>
        <v>0.19</v>
      </c>
      <c r="E27" s="33">
        <f t="shared" si="8"/>
        <v>0.78</v>
      </c>
      <c r="F27" s="33">
        <f t="shared" si="8"/>
        <v>0.24</v>
      </c>
      <c r="G27" s="33">
        <f t="shared" si="8"/>
        <v>0.66</v>
      </c>
      <c r="H27" s="33">
        <f t="shared" si="8"/>
        <v>0.4</v>
      </c>
      <c r="I27" s="33">
        <f t="shared" si="8"/>
        <v>0.61</v>
      </c>
      <c r="J27" s="33">
        <f t="shared" si="8"/>
        <v>0.17</v>
      </c>
      <c r="K27" s="33">
        <f t="shared" si="8"/>
        <v>0.9</v>
      </c>
      <c r="L27" s="33">
        <f t="shared" si="8"/>
        <v>0.43</v>
      </c>
      <c r="M27" s="33">
        <f t="shared" si="8"/>
        <v>0.42</v>
      </c>
      <c r="N27" s="33">
        <f t="shared" si="8"/>
        <v>0.94</v>
      </c>
      <c r="O27" s="33">
        <f t="shared" si="8"/>
        <v>0.51</v>
      </c>
      <c r="P27" s="33">
        <f t="shared" si="8"/>
        <v>0.7</v>
      </c>
      <c r="Q27" s="33">
        <f t="shared" si="8"/>
        <v>0.28999999999999998</v>
      </c>
      <c r="R27" s="33">
        <f t="shared" si="8"/>
        <v>0.23</v>
      </c>
      <c r="S27" s="33">
        <f t="shared" si="8"/>
        <v>0.01</v>
      </c>
      <c r="T27" s="33">
        <f t="shared" si="8"/>
        <v>0.96</v>
      </c>
      <c r="U27" s="33">
        <f t="shared" si="8"/>
        <v>0.82</v>
      </c>
      <c r="V27" s="33">
        <f t="shared" si="8"/>
        <v>0.23</v>
      </c>
      <c r="W27" s="33">
        <f t="shared" si="8"/>
        <v>0.94</v>
      </c>
      <c r="X27" s="33">
        <f t="shared" si="8"/>
        <v>0.95</v>
      </c>
      <c r="Y27" s="33">
        <f t="shared" si="8"/>
        <v>0.74</v>
      </c>
      <c r="Z27" s="33">
        <f t="shared" si="8"/>
        <v>0</v>
      </c>
      <c r="AA27" s="33">
        <f t="shared" si="8"/>
        <v>0</v>
      </c>
      <c r="AB27" s="33">
        <f t="shared" si="8"/>
        <v>0</v>
      </c>
      <c r="AC27" s="33">
        <f t="shared" si="8"/>
        <v>0</v>
      </c>
      <c r="AD27" s="33">
        <f t="shared" si="8"/>
        <v>0</v>
      </c>
      <c r="AE27" s="33">
        <f t="shared" si="8"/>
        <v>0</v>
      </c>
      <c r="AF27" s="33">
        <f t="shared" si="8"/>
        <v>0</v>
      </c>
      <c r="AG27" s="33">
        <f t="shared" si="8"/>
        <v>0</v>
      </c>
      <c r="AH27" s="33">
        <f t="shared" ref="AH27:BB27" si="9">AH17/AH16</f>
        <v>0</v>
      </c>
      <c r="AI27" s="33">
        <f t="shared" si="9"/>
        <v>0</v>
      </c>
      <c r="AJ27" s="33">
        <f t="shared" si="9"/>
        <v>0</v>
      </c>
      <c r="AK27" s="33">
        <f t="shared" si="9"/>
        <v>0</v>
      </c>
      <c r="AL27" s="33">
        <f t="shared" si="9"/>
        <v>0</v>
      </c>
      <c r="AM27" s="33">
        <f t="shared" si="9"/>
        <v>0</v>
      </c>
      <c r="AN27" s="33">
        <f t="shared" si="9"/>
        <v>0</v>
      </c>
      <c r="AO27" s="33">
        <f t="shared" si="9"/>
        <v>0</v>
      </c>
      <c r="AP27" s="33">
        <f t="shared" si="9"/>
        <v>0</v>
      </c>
      <c r="AQ27" s="33">
        <f t="shared" si="9"/>
        <v>0</v>
      </c>
      <c r="AR27" s="33">
        <f t="shared" si="9"/>
        <v>0</v>
      </c>
      <c r="AS27" s="33">
        <f t="shared" si="9"/>
        <v>0</v>
      </c>
      <c r="AT27" s="33">
        <f t="shared" si="9"/>
        <v>0</v>
      </c>
      <c r="AU27" s="33">
        <f t="shared" si="9"/>
        <v>0</v>
      </c>
      <c r="AV27" s="33">
        <f t="shared" si="9"/>
        <v>0</v>
      </c>
      <c r="AW27" s="33">
        <f t="shared" si="9"/>
        <v>0</v>
      </c>
      <c r="AX27" s="33">
        <f t="shared" si="9"/>
        <v>0</v>
      </c>
      <c r="AY27" s="33">
        <f t="shared" si="9"/>
        <v>0</v>
      </c>
      <c r="AZ27" s="33">
        <f t="shared" si="9"/>
        <v>0</v>
      </c>
      <c r="BA27" s="33">
        <f t="shared" si="9"/>
        <v>0</v>
      </c>
      <c r="BB27" s="34">
        <f t="shared" si="9"/>
        <v>0</v>
      </c>
    </row>
    <row r="28" spans="1:54" ht="17" thickBot="1" x14ac:dyDescent="0.25">
      <c r="A28" s="15" t="s">
        <v>12</v>
      </c>
      <c r="B28" s="35">
        <f t="shared" ref="B28:AG28" si="10">B20/B19</f>
        <v>0.54</v>
      </c>
      <c r="C28" s="36">
        <f t="shared" si="10"/>
        <v>0.6</v>
      </c>
      <c r="D28" s="36">
        <f t="shared" si="10"/>
        <v>0.12</v>
      </c>
      <c r="E28" s="36">
        <f t="shared" si="10"/>
        <v>0.87</v>
      </c>
      <c r="F28" s="36">
        <f t="shared" si="10"/>
        <v>0.34</v>
      </c>
      <c r="G28" s="36">
        <f t="shared" si="10"/>
        <v>0.68</v>
      </c>
      <c r="H28" s="36">
        <f t="shared" si="10"/>
        <v>0.69</v>
      </c>
      <c r="I28" s="36">
        <f t="shared" si="10"/>
        <v>0.59</v>
      </c>
      <c r="J28" s="36">
        <f t="shared" si="10"/>
        <v>0.79</v>
      </c>
      <c r="K28" s="36">
        <f t="shared" si="10"/>
        <v>0.57999999999999996</v>
      </c>
      <c r="L28" s="36">
        <f t="shared" si="10"/>
        <v>0.08</v>
      </c>
      <c r="M28" s="36">
        <f t="shared" si="10"/>
        <v>0.19</v>
      </c>
      <c r="N28" s="36">
        <f t="shared" si="10"/>
        <v>0.23</v>
      </c>
      <c r="O28" s="36">
        <f t="shared" si="10"/>
        <v>0.04</v>
      </c>
      <c r="P28" s="36">
        <f t="shared" si="10"/>
        <v>0.88</v>
      </c>
      <c r="Q28" s="36">
        <f t="shared" si="10"/>
        <v>0.65</v>
      </c>
      <c r="R28" s="36">
        <f t="shared" si="10"/>
        <v>0.61</v>
      </c>
      <c r="S28" s="36">
        <f t="shared" si="10"/>
        <v>0.3</v>
      </c>
      <c r="T28" s="36">
        <f t="shared" si="10"/>
        <v>0.03</v>
      </c>
      <c r="U28" s="36">
        <f t="shared" si="10"/>
        <v>7.0000000000000007E-2</v>
      </c>
      <c r="V28" s="36">
        <f t="shared" si="10"/>
        <v>0.05</v>
      </c>
      <c r="W28" s="36">
        <f t="shared" si="10"/>
        <v>0.2</v>
      </c>
      <c r="X28" s="36">
        <f t="shared" si="10"/>
        <v>0.62</v>
      </c>
      <c r="Y28" s="36">
        <f t="shared" si="10"/>
        <v>0.9</v>
      </c>
      <c r="Z28" s="36">
        <f t="shared" si="10"/>
        <v>0</v>
      </c>
      <c r="AA28" s="36">
        <f t="shared" si="10"/>
        <v>0</v>
      </c>
      <c r="AB28" s="36">
        <f t="shared" si="10"/>
        <v>0</v>
      </c>
      <c r="AC28" s="36">
        <f t="shared" si="10"/>
        <v>0</v>
      </c>
      <c r="AD28" s="36">
        <f t="shared" si="10"/>
        <v>0</v>
      </c>
      <c r="AE28" s="36">
        <f t="shared" si="10"/>
        <v>0</v>
      </c>
      <c r="AF28" s="36">
        <f t="shared" si="10"/>
        <v>0</v>
      </c>
      <c r="AG28" s="36">
        <f t="shared" si="10"/>
        <v>0</v>
      </c>
      <c r="AH28" s="36">
        <f t="shared" ref="AH28:BB28" si="11">AH20/AH19</f>
        <v>0</v>
      </c>
      <c r="AI28" s="36">
        <f t="shared" si="11"/>
        <v>0</v>
      </c>
      <c r="AJ28" s="36">
        <f t="shared" si="11"/>
        <v>0</v>
      </c>
      <c r="AK28" s="36">
        <f t="shared" si="11"/>
        <v>0</v>
      </c>
      <c r="AL28" s="36">
        <f t="shared" si="11"/>
        <v>0</v>
      </c>
      <c r="AM28" s="36">
        <f t="shared" si="11"/>
        <v>0</v>
      </c>
      <c r="AN28" s="36">
        <f t="shared" si="11"/>
        <v>0</v>
      </c>
      <c r="AO28" s="36">
        <f t="shared" si="11"/>
        <v>0</v>
      </c>
      <c r="AP28" s="36">
        <f t="shared" si="11"/>
        <v>0</v>
      </c>
      <c r="AQ28" s="36">
        <f t="shared" si="11"/>
        <v>0</v>
      </c>
      <c r="AR28" s="36">
        <f t="shared" si="11"/>
        <v>0</v>
      </c>
      <c r="AS28" s="36">
        <f t="shared" si="11"/>
        <v>0</v>
      </c>
      <c r="AT28" s="36">
        <f t="shared" si="11"/>
        <v>0</v>
      </c>
      <c r="AU28" s="36">
        <f t="shared" si="11"/>
        <v>0</v>
      </c>
      <c r="AV28" s="36">
        <f t="shared" si="11"/>
        <v>0</v>
      </c>
      <c r="AW28" s="36">
        <f t="shared" si="11"/>
        <v>0</v>
      </c>
      <c r="AX28" s="36">
        <f t="shared" si="11"/>
        <v>0</v>
      </c>
      <c r="AY28" s="36">
        <f t="shared" si="11"/>
        <v>0</v>
      </c>
      <c r="AZ28" s="36">
        <f t="shared" si="11"/>
        <v>0</v>
      </c>
      <c r="BA28" s="36">
        <f t="shared" si="11"/>
        <v>0</v>
      </c>
      <c r="BB28" s="37">
        <f t="shared" si="11"/>
        <v>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88680-F691-DC41-8BBE-4B0CDB6CF3D7}">
  <sheetPr codeName="Feuil4"/>
  <dimension ref="A1"/>
  <sheetViews>
    <sheetView showGridLines="0" zoomScale="57" workbookViewId="0">
      <selection activeCell="F12" sqref="F12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5608F-1207-D94C-9D37-7829BB5D7C10}">
  <dimension ref="B1:E27"/>
  <sheetViews>
    <sheetView showGridLines="0" workbookViewId="0">
      <selection activeCell="A4" sqref="A4"/>
    </sheetView>
  </sheetViews>
  <sheetFormatPr baseColWidth="10" defaultRowHeight="16" x14ac:dyDescent="0.2"/>
  <sheetData>
    <row r="1" spans="2:5" x14ac:dyDescent="0.2">
      <c r="B1" s="38">
        <v>-3</v>
      </c>
      <c r="C1" s="39">
        <v>-33</v>
      </c>
      <c r="D1" s="38">
        <v>0.1</v>
      </c>
      <c r="E1" s="39">
        <v>0.1</v>
      </c>
    </row>
    <row r="2" spans="2:5" x14ac:dyDescent="0.2">
      <c r="B2" s="38">
        <v>-10</v>
      </c>
      <c r="C2" s="38">
        <v>-28</v>
      </c>
      <c r="D2" s="38">
        <v>0.1</v>
      </c>
      <c r="E2" s="38">
        <v>0.1</v>
      </c>
    </row>
    <row r="3" spans="2:5" x14ac:dyDescent="0.2">
      <c r="B3" s="38">
        <v>-30</v>
      </c>
      <c r="C3" s="38">
        <v>47</v>
      </c>
      <c r="D3" s="38">
        <v>-0.05</v>
      </c>
      <c r="E3" s="38">
        <v>0.05</v>
      </c>
    </row>
    <row r="4" spans="2:5" x14ac:dyDescent="0.2">
      <c r="B4" s="38">
        <v>-2</v>
      </c>
      <c r="C4" s="38">
        <v>18</v>
      </c>
      <c r="D4" s="38">
        <v>0.1</v>
      </c>
      <c r="E4" s="38">
        <v>0.1</v>
      </c>
    </row>
    <row r="5" spans="2:5" x14ac:dyDescent="0.2">
      <c r="B5" s="38">
        <v>-8</v>
      </c>
      <c r="C5" s="38">
        <v>18</v>
      </c>
      <c r="D5" s="38">
        <v>0.01</v>
      </c>
      <c r="E5" s="38">
        <v>0.01</v>
      </c>
    </row>
    <row r="6" spans="2:5" x14ac:dyDescent="0.2">
      <c r="B6" s="38">
        <v>9</v>
      </c>
      <c r="C6" s="39">
        <v>43</v>
      </c>
      <c r="D6" s="38">
        <v>0.05</v>
      </c>
      <c r="E6" s="39">
        <v>0.1</v>
      </c>
    </row>
    <row r="7" spans="2:5" x14ac:dyDescent="0.2">
      <c r="B7" s="38">
        <v>-8</v>
      </c>
      <c r="C7" s="38">
        <v>30</v>
      </c>
      <c r="D7" s="38">
        <v>0.05</v>
      </c>
      <c r="E7" s="38">
        <v>0.01</v>
      </c>
    </row>
    <row r="8" spans="2:5" x14ac:dyDescent="0.2">
      <c r="B8" s="38">
        <v>-7</v>
      </c>
      <c r="C8" s="38">
        <v>45</v>
      </c>
      <c r="D8" s="38">
        <v>0</v>
      </c>
      <c r="E8" s="38">
        <v>0.1</v>
      </c>
    </row>
    <row r="9" spans="2:5" x14ac:dyDescent="0.2">
      <c r="B9" s="38">
        <v>-23</v>
      </c>
      <c r="C9" s="38">
        <v>30</v>
      </c>
      <c r="D9" s="38">
        <v>0.01</v>
      </c>
      <c r="E9" s="38">
        <v>0.01</v>
      </c>
    </row>
    <row r="10" spans="2:5" x14ac:dyDescent="0.2">
      <c r="B10" s="38">
        <v>-30</v>
      </c>
      <c r="C10" s="38">
        <v>-18</v>
      </c>
      <c r="D10" s="38">
        <v>0.1</v>
      </c>
      <c r="E10" s="38">
        <v>0.1</v>
      </c>
    </row>
    <row r="11" spans="2:5" x14ac:dyDescent="0.2">
      <c r="B11" s="38">
        <v>-20</v>
      </c>
      <c r="C11" s="39">
        <v>47</v>
      </c>
      <c r="D11" s="38">
        <v>0.1</v>
      </c>
      <c r="E11" s="39">
        <v>0.1</v>
      </c>
    </row>
    <row r="12" spans="2:5" x14ac:dyDescent="0.2">
      <c r="B12" s="38">
        <v>-30</v>
      </c>
      <c r="C12" s="38">
        <v>1</v>
      </c>
      <c r="D12" s="38">
        <v>0.1</v>
      </c>
      <c r="E12" s="38">
        <v>0.1</v>
      </c>
    </row>
    <row r="13" spans="2:5" x14ac:dyDescent="0.2">
      <c r="B13" s="38">
        <v>10</v>
      </c>
      <c r="C13" s="38">
        <v>30</v>
      </c>
      <c r="D13" s="38">
        <v>0.1</v>
      </c>
      <c r="E13" s="38">
        <v>0.1</v>
      </c>
    </row>
    <row r="14" spans="2:5" x14ac:dyDescent="0.2">
      <c r="B14" s="38">
        <v>30</v>
      </c>
      <c r="C14" s="38">
        <v>30</v>
      </c>
      <c r="D14" s="38">
        <v>0.1</v>
      </c>
      <c r="E14" s="38">
        <v>0.1</v>
      </c>
    </row>
    <row r="15" spans="2:5" x14ac:dyDescent="0.2">
      <c r="B15" s="38">
        <v>5</v>
      </c>
      <c r="C15" s="38">
        <v>-40</v>
      </c>
      <c r="D15" s="38">
        <v>0.1</v>
      </c>
      <c r="E15" s="38">
        <v>0.1</v>
      </c>
    </row>
    <row r="16" spans="2:5" x14ac:dyDescent="0.2">
      <c r="B16" s="38">
        <v>-31</v>
      </c>
      <c r="C16" s="38">
        <v>33</v>
      </c>
      <c r="D16" s="38">
        <v>0.1</v>
      </c>
      <c r="E16" s="38">
        <v>0.1</v>
      </c>
    </row>
    <row r="17" spans="2:5" x14ac:dyDescent="0.2">
      <c r="B17" s="38">
        <v>60</v>
      </c>
      <c r="C17" s="39">
        <v>40</v>
      </c>
      <c r="D17" s="38">
        <v>0.1</v>
      </c>
      <c r="E17" s="38">
        <v>0.1</v>
      </c>
    </row>
    <row r="18" spans="2:5" x14ac:dyDescent="0.2">
      <c r="B18" s="38">
        <v>75</v>
      </c>
      <c r="C18" s="39">
        <v>49</v>
      </c>
      <c r="D18" s="38">
        <v>0.1</v>
      </c>
      <c r="E18" s="38">
        <v>0.1</v>
      </c>
    </row>
    <row r="19" spans="2:5" x14ac:dyDescent="0.2">
      <c r="B19" s="38">
        <v>45</v>
      </c>
      <c r="C19" s="39">
        <v>15</v>
      </c>
      <c r="D19" s="38">
        <v>0.1</v>
      </c>
      <c r="E19" s="38">
        <v>0.1</v>
      </c>
    </row>
    <row r="20" spans="2:5" x14ac:dyDescent="0.2">
      <c r="B20" s="38">
        <v>65</v>
      </c>
      <c r="C20" s="39">
        <v>15</v>
      </c>
      <c r="D20" s="38">
        <v>0.1</v>
      </c>
      <c r="E20" s="38">
        <v>0.1</v>
      </c>
    </row>
    <row r="21" spans="2:5" x14ac:dyDescent="0.2">
      <c r="B21" s="38">
        <v>42</v>
      </c>
      <c r="C21" s="39">
        <v>5</v>
      </c>
      <c r="D21" s="38">
        <v>0.1</v>
      </c>
      <c r="E21" s="38">
        <v>0.1</v>
      </c>
    </row>
    <row r="22" spans="2:5" x14ac:dyDescent="0.2">
      <c r="B22" s="38">
        <v>42</v>
      </c>
      <c r="C22" s="39">
        <v>0</v>
      </c>
      <c r="D22" s="38">
        <v>0.1</v>
      </c>
      <c r="E22" s="38">
        <v>0.1</v>
      </c>
    </row>
    <row r="23" spans="2:5" x14ac:dyDescent="0.2">
      <c r="B23" s="38">
        <v>48</v>
      </c>
      <c r="C23" s="39">
        <v>-6</v>
      </c>
      <c r="D23" s="38">
        <v>0.1</v>
      </c>
      <c r="E23" s="38">
        <v>0.1</v>
      </c>
    </row>
    <row r="24" spans="2:5" x14ac:dyDescent="0.2">
      <c r="B24" s="38">
        <v>40</v>
      </c>
      <c r="C24" s="39">
        <v>-10</v>
      </c>
      <c r="D24" s="38">
        <v>0.1</v>
      </c>
      <c r="E24" s="38">
        <v>0.1</v>
      </c>
    </row>
    <row r="25" spans="2:5" x14ac:dyDescent="0.2">
      <c r="B25" s="38">
        <v>50</v>
      </c>
      <c r="C25" s="39">
        <v>10</v>
      </c>
      <c r="D25" s="38">
        <v>0.1</v>
      </c>
      <c r="E25" s="38">
        <v>0.1</v>
      </c>
    </row>
    <row r="26" spans="2:5" x14ac:dyDescent="0.2">
      <c r="B26" s="38">
        <v>70</v>
      </c>
      <c r="C26" s="38">
        <v>15</v>
      </c>
      <c r="D26" s="38">
        <v>0.1</v>
      </c>
      <c r="E26" s="38">
        <v>0.1</v>
      </c>
    </row>
    <row r="27" spans="2:5" x14ac:dyDescent="0.2">
      <c r="B27" s="38">
        <v>60</v>
      </c>
      <c r="C27" s="38">
        <v>48</v>
      </c>
      <c r="D27" s="38">
        <v>0.1</v>
      </c>
      <c r="E27" s="38">
        <v>0.1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B5167-44F3-AC42-8F97-61AC622DE4B0}">
  <sheetPr codeName="Feuil5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Graph</vt:lpstr>
      <vt:lpstr>KPI</vt:lpstr>
      <vt:lpstr>Donnees</vt:lpstr>
      <vt:lpstr>Flux</vt:lpstr>
      <vt:lpstr>Coordonnees</vt:lpstr>
      <vt:lpstr>Planification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Perras</dc:creator>
  <cp:lastModifiedBy>Jeremy Perras</cp:lastModifiedBy>
  <dcterms:created xsi:type="dcterms:W3CDTF">2022-06-21T15:35:50Z</dcterms:created>
  <dcterms:modified xsi:type="dcterms:W3CDTF">2022-07-07T18:59:40Z</dcterms:modified>
</cp:coreProperties>
</file>